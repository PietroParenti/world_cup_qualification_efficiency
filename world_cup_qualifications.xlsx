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en\Desktop\PROGETTI\MONDIALE\"/>
    </mc:Choice>
  </mc:AlternateContent>
  <xr:revisionPtr revIDLastSave="0" documentId="13_ncr:1_{110FB8DA-7FE6-442D-ACE6-D3B1EBA935D7}" xr6:coauthVersionLast="47" xr6:coauthVersionMax="47" xr10:uidLastSave="{00000000-0000-0000-0000-000000000000}"/>
  <bookViews>
    <workbookView xWindow="-108" yWindow="-108" windowWidth="23256" windowHeight="12456" activeTab="9" xr2:uid="{1478277D-E0E2-4725-B234-754406287236}"/>
  </bookViews>
  <sheets>
    <sheet name="storico" sheetId="10" r:id="rId1"/>
    <sheet name="1994" sheetId="1" r:id="rId2"/>
    <sheet name="1998" sheetId="2" r:id="rId3"/>
    <sheet name="2002" sheetId="3" r:id="rId4"/>
    <sheet name="2006" sheetId="4" r:id="rId5"/>
    <sheet name="2010" sheetId="5" r:id="rId6"/>
    <sheet name="2014" sheetId="6" r:id="rId7"/>
    <sheet name="2018" sheetId="7" r:id="rId8"/>
    <sheet name="2022" sheetId="8" r:id="rId9"/>
    <sheet name="2026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L3" i="7"/>
  <c r="L3" i="6"/>
  <c r="L3" i="5"/>
  <c r="L3" i="4"/>
  <c r="L3" i="3"/>
  <c r="L3" i="2"/>
  <c r="L3" i="1"/>
  <c r="L8" i="8"/>
  <c r="L7" i="8"/>
  <c r="F9" i="10" s="1"/>
  <c r="L6" i="8"/>
  <c r="E9" i="10" s="1"/>
  <c r="L5" i="8"/>
  <c r="D9" i="10" s="1"/>
  <c r="L4" i="8"/>
  <c r="C9" i="10" s="1"/>
  <c r="L8" i="7"/>
  <c r="L7" i="7"/>
  <c r="F8" i="10" s="1"/>
  <c r="L6" i="7"/>
  <c r="L5" i="7"/>
  <c r="D8" i="10" s="1"/>
  <c r="L4" i="7"/>
  <c r="C8" i="10" s="1"/>
  <c r="L8" i="6"/>
  <c r="G7" i="10" s="1"/>
  <c r="L7" i="6"/>
  <c r="L6" i="6"/>
  <c r="L5" i="6"/>
  <c r="L4" i="6"/>
  <c r="C7" i="10" s="1"/>
  <c r="L8" i="5"/>
  <c r="L7" i="5"/>
  <c r="L6" i="5"/>
  <c r="E6" i="10" s="1"/>
  <c r="L5" i="5"/>
  <c r="L4" i="5"/>
  <c r="C6" i="10" s="1"/>
  <c r="L8" i="4"/>
  <c r="L7" i="4"/>
  <c r="L6" i="4"/>
  <c r="E5" i="10" s="1"/>
  <c r="L5" i="4"/>
  <c r="D5" i="10" s="1"/>
  <c r="L4" i="4"/>
  <c r="C5" i="10" s="1"/>
  <c r="L8" i="3"/>
  <c r="L7" i="3"/>
  <c r="L6" i="3"/>
  <c r="L5" i="3"/>
  <c r="L4" i="3"/>
  <c r="C4" i="10" s="1"/>
  <c r="L8" i="2"/>
  <c r="L7" i="2"/>
  <c r="L6" i="2"/>
  <c r="E3" i="10" s="1"/>
  <c r="L5" i="2"/>
  <c r="D3" i="10" s="1"/>
  <c r="L4" i="2"/>
  <c r="C3" i="10" s="1"/>
  <c r="L8" i="1"/>
  <c r="G2" i="10" s="1"/>
  <c r="L7" i="1"/>
  <c r="F2" i="10" s="1"/>
  <c r="L6" i="1"/>
  <c r="E2" i="10" s="1"/>
  <c r="L5" i="1"/>
  <c r="D2" i="10" s="1"/>
  <c r="L4" i="1"/>
  <c r="C2" i="10" s="1"/>
  <c r="G6" i="10"/>
  <c r="F6" i="10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F17" i="9" s="1"/>
  <c r="E18" i="9"/>
  <c r="E19" i="9"/>
  <c r="E20" i="9"/>
  <c r="E21" i="9"/>
  <c r="E22" i="9"/>
  <c r="E23" i="9"/>
  <c r="E24" i="9"/>
  <c r="E25" i="9"/>
  <c r="E26" i="9"/>
  <c r="E27" i="9"/>
  <c r="E28" i="9"/>
  <c r="E29" i="9"/>
  <c r="F29" i="9" s="1"/>
  <c r="E30" i="9"/>
  <c r="E31" i="9"/>
  <c r="E32" i="9"/>
  <c r="E33" i="9"/>
  <c r="E34" i="9"/>
  <c r="E35" i="9"/>
  <c r="E36" i="9"/>
  <c r="E37" i="9"/>
  <c r="E38" i="9"/>
  <c r="E39" i="9"/>
  <c r="E40" i="9"/>
  <c r="E41" i="9"/>
  <c r="F41" i="9" s="1"/>
  <c r="E42" i="9"/>
  <c r="E43" i="9"/>
  <c r="E44" i="9"/>
  <c r="E45" i="9"/>
  <c r="E46" i="9"/>
  <c r="E47" i="9"/>
  <c r="E48" i="9"/>
  <c r="E49" i="9"/>
  <c r="E50" i="9"/>
  <c r="E51" i="9"/>
  <c r="E52" i="9"/>
  <c r="E53" i="9"/>
  <c r="F53" i="9" s="1"/>
  <c r="E54" i="9"/>
  <c r="E55" i="9"/>
  <c r="E56" i="9"/>
  <c r="E57" i="9"/>
  <c r="E58" i="9"/>
  <c r="E59" i="9"/>
  <c r="E60" i="9"/>
  <c r="E61" i="9"/>
  <c r="E62" i="9"/>
  <c r="E63" i="9"/>
  <c r="E64" i="9"/>
  <c r="E65" i="9"/>
  <c r="F65" i="9" s="1"/>
  <c r="E66" i="9"/>
  <c r="E67" i="9"/>
  <c r="E68" i="9"/>
  <c r="E69" i="9"/>
  <c r="E70" i="9"/>
  <c r="E71" i="9"/>
  <c r="F71" i="9" s="1"/>
  <c r="E72" i="9"/>
  <c r="E73" i="9"/>
  <c r="E74" i="9"/>
  <c r="E75" i="9"/>
  <c r="E76" i="9"/>
  <c r="E2" i="9"/>
  <c r="G9" i="10"/>
  <c r="G8" i="10"/>
  <c r="G5" i="10"/>
  <c r="G4" i="10"/>
  <c r="G3" i="10"/>
  <c r="F7" i="10"/>
  <c r="F4" i="10"/>
  <c r="F5" i="10"/>
  <c r="F3" i="10"/>
  <c r="E8" i="10"/>
  <c r="E7" i="10"/>
  <c r="E4" i="10"/>
  <c r="D7" i="10"/>
  <c r="D6" i="10"/>
  <c r="D4" i="10"/>
  <c r="G1" i="10"/>
  <c r="F1" i="10"/>
  <c r="E1" i="10"/>
  <c r="B1" i="10"/>
  <c r="D1" i="10"/>
  <c r="C1" i="10"/>
  <c r="G69" i="8"/>
  <c r="G68" i="8"/>
  <c r="G67" i="8"/>
  <c r="G66" i="8"/>
  <c r="G65" i="8"/>
  <c r="G57" i="8"/>
  <c r="G56" i="8"/>
  <c r="G55" i="8"/>
  <c r="G54" i="8"/>
  <c r="G53" i="8"/>
  <c r="G43" i="8"/>
  <c r="G41" i="8"/>
  <c r="G33" i="8"/>
  <c r="G30" i="8"/>
  <c r="G18" i="8"/>
  <c r="G8" i="8"/>
  <c r="G7" i="8"/>
  <c r="G6" i="8"/>
  <c r="G5" i="8"/>
  <c r="G69" i="7"/>
  <c r="G67" i="7"/>
  <c r="G66" i="7"/>
  <c r="G65" i="7"/>
  <c r="G57" i="7"/>
  <c r="G55" i="7"/>
  <c r="G54" i="7"/>
  <c r="G53" i="7"/>
  <c r="G45" i="7"/>
  <c r="G44" i="7"/>
  <c r="G43" i="7"/>
  <c r="G41" i="7"/>
  <c r="G33" i="7"/>
  <c r="G32" i="7"/>
  <c r="G31" i="7"/>
  <c r="G30" i="7"/>
  <c r="G29" i="7"/>
  <c r="G20" i="7"/>
  <c r="G19" i="7"/>
  <c r="G18" i="7"/>
  <c r="G9" i="7"/>
  <c r="G8" i="7"/>
  <c r="G7" i="7"/>
  <c r="G6" i="7"/>
  <c r="G5" i="7"/>
  <c r="G73" i="6"/>
  <c r="G72" i="6"/>
  <c r="G71" i="6"/>
  <c r="G70" i="6"/>
  <c r="G69" i="6"/>
  <c r="G68" i="6"/>
  <c r="G67" i="6"/>
  <c r="G66" i="6"/>
  <c r="G64" i="6"/>
  <c r="G61" i="6"/>
  <c r="G60" i="6"/>
  <c r="G58" i="6"/>
  <c r="G56" i="6"/>
  <c r="G55" i="6"/>
  <c r="G54" i="6"/>
  <c r="G52" i="6"/>
  <c r="G49" i="6"/>
  <c r="G48" i="6"/>
  <c r="G4" i="6"/>
  <c r="G72" i="4"/>
  <c r="G71" i="4"/>
  <c r="G70" i="4"/>
  <c r="G69" i="4"/>
  <c r="G68" i="4"/>
  <c r="G67" i="4"/>
  <c r="G66" i="4"/>
  <c r="G65" i="4"/>
  <c r="G60" i="4"/>
  <c r="G59" i="4"/>
  <c r="G57" i="4"/>
  <c r="G56" i="4"/>
  <c r="G55" i="4"/>
  <c r="G54" i="4"/>
  <c r="G53" i="4"/>
  <c r="G47" i="4"/>
  <c r="G43" i="4"/>
  <c r="G42" i="4"/>
  <c r="G41" i="4"/>
  <c r="G32" i="4"/>
  <c r="G29" i="4"/>
  <c r="G23" i="4"/>
  <c r="G21" i="4"/>
  <c r="G18" i="4"/>
  <c r="G12" i="4"/>
  <c r="G6" i="4"/>
  <c r="G5" i="4"/>
  <c r="G76" i="3"/>
  <c r="G67" i="3"/>
  <c r="G66" i="3"/>
  <c r="G65" i="3"/>
  <c r="G64" i="3"/>
  <c r="G55" i="3"/>
  <c r="G54" i="3"/>
  <c r="G53" i="3"/>
  <c r="G52" i="3"/>
  <c r="G43" i="3"/>
  <c r="G41" i="3"/>
  <c r="G30" i="3"/>
  <c r="G16" i="3"/>
  <c r="G7" i="3"/>
  <c r="G6" i="3"/>
  <c r="G5" i="3"/>
  <c r="G4" i="3"/>
  <c r="G72" i="2"/>
  <c r="G71" i="2"/>
  <c r="G70" i="2"/>
  <c r="G69" i="2"/>
  <c r="G66" i="2"/>
  <c r="G65" i="2"/>
  <c r="G60" i="2"/>
  <c r="G59" i="2"/>
  <c r="G58" i="2"/>
  <c r="G57" i="2"/>
  <c r="G54" i="2"/>
  <c r="G53" i="2"/>
  <c r="G48" i="2"/>
  <c r="G47" i="2"/>
  <c r="G46" i="2"/>
  <c r="G45" i="2"/>
  <c r="G33" i="2"/>
  <c r="G23" i="2"/>
  <c r="G17" i="2"/>
  <c r="G10" i="1"/>
  <c r="G14" i="1"/>
  <c r="G16" i="1"/>
  <c r="G19" i="1"/>
  <c r="G21" i="1"/>
  <c r="G22" i="1"/>
  <c r="G23" i="1"/>
  <c r="G26" i="1"/>
  <c r="G27" i="1"/>
  <c r="G31" i="1"/>
  <c r="G33" i="1"/>
  <c r="G34" i="1"/>
  <c r="G36" i="1"/>
  <c r="G37" i="1"/>
  <c r="G39" i="1"/>
  <c r="G40" i="1"/>
  <c r="G41" i="1"/>
  <c r="G42" i="1"/>
  <c r="G43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3" i="1"/>
  <c r="E76" i="8"/>
  <c r="F76" i="8" s="1"/>
  <c r="E75" i="8"/>
  <c r="F75" i="8" s="1"/>
  <c r="E74" i="8"/>
  <c r="F74" i="8" s="1"/>
  <c r="E73" i="8"/>
  <c r="F73" i="8" s="1"/>
  <c r="E72" i="8"/>
  <c r="F72" i="8" s="1"/>
  <c r="E71" i="8"/>
  <c r="F71" i="8" s="1"/>
  <c r="E70" i="8"/>
  <c r="F70" i="8" s="1"/>
  <c r="E69" i="8"/>
  <c r="F69" i="8" s="1"/>
  <c r="E68" i="8"/>
  <c r="F68" i="8" s="1"/>
  <c r="E67" i="8"/>
  <c r="F67" i="8" s="1"/>
  <c r="E66" i="8"/>
  <c r="F66" i="8" s="1"/>
  <c r="E65" i="8"/>
  <c r="F65" i="8" s="1"/>
  <c r="E64" i="8"/>
  <c r="F64" i="8" s="1"/>
  <c r="E63" i="8"/>
  <c r="F63" i="8" s="1"/>
  <c r="E62" i="8"/>
  <c r="F62" i="8" s="1"/>
  <c r="E61" i="8"/>
  <c r="F61" i="8" s="1"/>
  <c r="E60" i="8"/>
  <c r="F60" i="8" s="1"/>
  <c r="E59" i="8"/>
  <c r="F59" i="8" s="1"/>
  <c r="E58" i="8"/>
  <c r="F58" i="8" s="1"/>
  <c r="E57" i="8"/>
  <c r="F57" i="8" s="1"/>
  <c r="E56" i="8"/>
  <c r="F56" i="8" s="1"/>
  <c r="E55" i="8"/>
  <c r="F55" i="8" s="1"/>
  <c r="E54" i="8"/>
  <c r="F54" i="8" s="1"/>
  <c r="E53" i="8"/>
  <c r="F53" i="8" s="1"/>
  <c r="E52" i="8"/>
  <c r="F52" i="8" s="1"/>
  <c r="E51" i="8"/>
  <c r="F51" i="8" s="1"/>
  <c r="E50" i="8"/>
  <c r="F50" i="8" s="1"/>
  <c r="E49" i="8"/>
  <c r="F49" i="8" s="1"/>
  <c r="E48" i="8"/>
  <c r="F48" i="8" s="1"/>
  <c r="E47" i="8"/>
  <c r="F47" i="8" s="1"/>
  <c r="E46" i="8"/>
  <c r="F46" i="8" s="1"/>
  <c r="E45" i="8"/>
  <c r="F45" i="8" s="1"/>
  <c r="E44" i="8"/>
  <c r="F44" i="8" s="1"/>
  <c r="E43" i="8"/>
  <c r="F43" i="8" s="1"/>
  <c r="E42" i="8"/>
  <c r="F42" i="8" s="1"/>
  <c r="E41" i="8"/>
  <c r="F41" i="8" s="1"/>
  <c r="E40" i="8"/>
  <c r="F40" i="8" s="1"/>
  <c r="E39" i="8"/>
  <c r="F39" i="8" s="1"/>
  <c r="E38" i="8"/>
  <c r="F38" i="8" s="1"/>
  <c r="E37" i="8"/>
  <c r="F37" i="8" s="1"/>
  <c r="E36" i="8"/>
  <c r="F36" i="8" s="1"/>
  <c r="E35" i="8"/>
  <c r="F35" i="8" s="1"/>
  <c r="E34" i="8"/>
  <c r="F34" i="8" s="1"/>
  <c r="E33" i="8"/>
  <c r="F33" i="8" s="1"/>
  <c r="E32" i="8"/>
  <c r="F32" i="8" s="1"/>
  <c r="E31" i="8"/>
  <c r="F31" i="8" s="1"/>
  <c r="E30" i="8"/>
  <c r="F30" i="8" s="1"/>
  <c r="E29" i="8"/>
  <c r="F29" i="8" s="1"/>
  <c r="E28" i="8"/>
  <c r="F28" i="8" s="1"/>
  <c r="E27" i="8"/>
  <c r="F27" i="8" s="1"/>
  <c r="E26" i="8"/>
  <c r="F26" i="8" s="1"/>
  <c r="E25" i="8"/>
  <c r="F25" i="8" s="1"/>
  <c r="E24" i="8"/>
  <c r="F24" i="8" s="1"/>
  <c r="E23" i="8"/>
  <c r="F23" i="8" s="1"/>
  <c r="E22" i="8"/>
  <c r="F22" i="8" s="1"/>
  <c r="E21" i="8"/>
  <c r="F21" i="8" s="1"/>
  <c r="E20" i="8"/>
  <c r="F20" i="8" s="1"/>
  <c r="E19" i="8"/>
  <c r="F19" i="8" s="1"/>
  <c r="E18" i="8"/>
  <c r="F18" i="8" s="1"/>
  <c r="E17" i="8"/>
  <c r="F17" i="8" s="1"/>
  <c r="E16" i="8"/>
  <c r="F16" i="8" s="1"/>
  <c r="E15" i="8"/>
  <c r="F15" i="8" s="1"/>
  <c r="E14" i="8"/>
  <c r="F14" i="8" s="1"/>
  <c r="E13" i="8"/>
  <c r="F13" i="8" s="1"/>
  <c r="E12" i="8"/>
  <c r="F12" i="8" s="1"/>
  <c r="G42" i="8" s="1"/>
  <c r="E11" i="8"/>
  <c r="F11" i="8" s="1"/>
  <c r="E10" i="8"/>
  <c r="F10" i="8" s="1"/>
  <c r="E9" i="8"/>
  <c r="F9" i="8" s="1"/>
  <c r="E8" i="8"/>
  <c r="F8" i="8" s="1"/>
  <c r="E7" i="8"/>
  <c r="F7" i="8" s="1"/>
  <c r="E6" i="8"/>
  <c r="F6" i="8" s="1"/>
  <c r="E5" i="8"/>
  <c r="F5" i="8" s="1"/>
  <c r="E4" i="8"/>
  <c r="F4" i="8" s="1"/>
  <c r="E3" i="8"/>
  <c r="F3" i="8" s="1"/>
  <c r="G21" i="8" s="1"/>
  <c r="E2" i="8"/>
  <c r="F2" i="8" s="1"/>
  <c r="E76" i="7"/>
  <c r="F76" i="7" s="1"/>
  <c r="E75" i="7"/>
  <c r="F75" i="7" s="1"/>
  <c r="E74" i="7"/>
  <c r="F74" i="7" s="1"/>
  <c r="E73" i="7"/>
  <c r="F73" i="7" s="1"/>
  <c r="E72" i="7"/>
  <c r="F72" i="7" s="1"/>
  <c r="E71" i="7"/>
  <c r="F71" i="7" s="1"/>
  <c r="E70" i="7"/>
  <c r="F70" i="7" s="1"/>
  <c r="E69" i="7"/>
  <c r="F69" i="7" s="1"/>
  <c r="E68" i="7"/>
  <c r="F68" i="7" s="1"/>
  <c r="E67" i="7"/>
  <c r="F67" i="7" s="1"/>
  <c r="E66" i="7"/>
  <c r="F66" i="7" s="1"/>
  <c r="E65" i="7"/>
  <c r="F65" i="7" s="1"/>
  <c r="E64" i="7"/>
  <c r="F64" i="7" s="1"/>
  <c r="E63" i="7"/>
  <c r="F63" i="7" s="1"/>
  <c r="E62" i="7"/>
  <c r="F62" i="7" s="1"/>
  <c r="E61" i="7"/>
  <c r="F61" i="7" s="1"/>
  <c r="E60" i="7"/>
  <c r="F60" i="7" s="1"/>
  <c r="E59" i="7"/>
  <c r="F59" i="7" s="1"/>
  <c r="E58" i="7"/>
  <c r="F58" i="7" s="1"/>
  <c r="E57" i="7"/>
  <c r="F57" i="7" s="1"/>
  <c r="E56" i="7"/>
  <c r="F56" i="7" s="1"/>
  <c r="E55" i="7"/>
  <c r="F55" i="7" s="1"/>
  <c r="E54" i="7"/>
  <c r="F54" i="7" s="1"/>
  <c r="E53" i="7"/>
  <c r="F53" i="7" s="1"/>
  <c r="E52" i="7"/>
  <c r="F52" i="7" s="1"/>
  <c r="E51" i="7"/>
  <c r="F51" i="7" s="1"/>
  <c r="E50" i="7"/>
  <c r="F50" i="7" s="1"/>
  <c r="E49" i="7"/>
  <c r="F49" i="7" s="1"/>
  <c r="E48" i="7"/>
  <c r="F48" i="7" s="1"/>
  <c r="E47" i="7"/>
  <c r="F47" i="7" s="1"/>
  <c r="E46" i="7"/>
  <c r="F46" i="7" s="1"/>
  <c r="E45" i="7"/>
  <c r="F45" i="7" s="1"/>
  <c r="E44" i="7"/>
  <c r="F44" i="7" s="1"/>
  <c r="E43" i="7"/>
  <c r="F43" i="7" s="1"/>
  <c r="E42" i="7"/>
  <c r="F42" i="7" s="1"/>
  <c r="E41" i="7"/>
  <c r="F41" i="7" s="1"/>
  <c r="E40" i="7"/>
  <c r="F40" i="7" s="1"/>
  <c r="E39" i="7"/>
  <c r="F39" i="7" s="1"/>
  <c r="E38" i="7"/>
  <c r="F38" i="7" s="1"/>
  <c r="E37" i="7"/>
  <c r="F37" i="7" s="1"/>
  <c r="E36" i="7"/>
  <c r="F36" i="7" s="1"/>
  <c r="E35" i="7"/>
  <c r="F35" i="7" s="1"/>
  <c r="E34" i="7"/>
  <c r="F34" i="7" s="1"/>
  <c r="E33" i="7"/>
  <c r="F33" i="7" s="1"/>
  <c r="E32" i="7"/>
  <c r="F32" i="7" s="1"/>
  <c r="E31" i="7"/>
  <c r="F31" i="7" s="1"/>
  <c r="E30" i="7"/>
  <c r="F30" i="7" s="1"/>
  <c r="E29" i="7"/>
  <c r="F29" i="7" s="1"/>
  <c r="E28" i="7"/>
  <c r="F28" i="7" s="1"/>
  <c r="E27" i="7"/>
  <c r="F27" i="7" s="1"/>
  <c r="E26" i="7"/>
  <c r="F26" i="7" s="1"/>
  <c r="E25" i="7"/>
  <c r="F25" i="7" s="1"/>
  <c r="E24" i="7"/>
  <c r="F24" i="7" s="1"/>
  <c r="E23" i="7"/>
  <c r="F23" i="7" s="1"/>
  <c r="E22" i="7"/>
  <c r="F22" i="7" s="1"/>
  <c r="E21" i="7"/>
  <c r="F21" i="7" s="1"/>
  <c r="E20" i="7"/>
  <c r="F20" i="7" s="1"/>
  <c r="E19" i="7"/>
  <c r="F19" i="7" s="1"/>
  <c r="E18" i="7"/>
  <c r="F18" i="7" s="1"/>
  <c r="E17" i="7"/>
  <c r="F17" i="7" s="1"/>
  <c r="E16" i="7"/>
  <c r="F16" i="7" s="1"/>
  <c r="E15" i="7"/>
  <c r="F15" i="7" s="1"/>
  <c r="E14" i="7"/>
  <c r="F14" i="7" s="1"/>
  <c r="E13" i="7"/>
  <c r="F13" i="7" s="1"/>
  <c r="E12" i="7"/>
  <c r="F12" i="7" s="1"/>
  <c r="E11" i="7"/>
  <c r="F11" i="7" s="1"/>
  <c r="E10" i="7"/>
  <c r="F10" i="7" s="1"/>
  <c r="G56" i="7" s="1"/>
  <c r="E9" i="7"/>
  <c r="F9" i="7" s="1"/>
  <c r="E8" i="7"/>
  <c r="F8" i="7" s="1"/>
  <c r="E7" i="7"/>
  <c r="F7" i="7" s="1"/>
  <c r="E6" i="7"/>
  <c r="F6" i="7" s="1"/>
  <c r="E5" i="7"/>
  <c r="F5" i="7" s="1"/>
  <c r="E4" i="7"/>
  <c r="F4" i="7" s="1"/>
  <c r="E3" i="7"/>
  <c r="F3" i="7" s="1"/>
  <c r="E2" i="7"/>
  <c r="F2" i="7" s="1"/>
  <c r="B8" i="10" s="1"/>
  <c r="E76" i="6"/>
  <c r="G76" i="6" s="1"/>
  <c r="E75" i="6"/>
  <c r="F75" i="6" s="1"/>
  <c r="E74" i="6"/>
  <c r="F74" i="6" s="1"/>
  <c r="E73" i="6"/>
  <c r="F73" i="6" s="1"/>
  <c r="E72" i="6"/>
  <c r="F72" i="6" s="1"/>
  <c r="E71" i="6"/>
  <c r="F71" i="6" s="1"/>
  <c r="E70" i="6"/>
  <c r="F70" i="6" s="1"/>
  <c r="E69" i="6"/>
  <c r="F69" i="6" s="1"/>
  <c r="E68" i="6"/>
  <c r="F68" i="6" s="1"/>
  <c r="E67" i="6"/>
  <c r="F67" i="6" s="1"/>
  <c r="E66" i="6"/>
  <c r="F66" i="6" s="1"/>
  <c r="E65" i="6"/>
  <c r="F65" i="6" s="1"/>
  <c r="F64" i="6"/>
  <c r="E64" i="6"/>
  <c r="E63" i="6"/>
  <c r="F63" i="6" s="1"/>
  <c r="E62" i="6"/>
  <c r="F62" i="6" s="1"/>
  <c r="E61" i="6"/>
  <c r="F61" i="6" s="1"/>
  <c r="E60" i="6"/>
  <c r="F60" i="6" s="1"/>
  <c r="E59" i="6"/>
  <c r="F59" i="6" s="1"/>
  <c r="E58" i="6"/>
  <c r="F58" i="6" s="1"/>
  <c r="E57" i="6"/>
  <c r="F57" i="6" s="1"/>
  <c r="E56" i="6"/>
  <c r="F56" i="6" s="1"/>
  <c r="E55" i="6"/>
  <c r="F55" i="6" s="1"/>
  <c r="E54" i="6"/>
  <c r="F54" i="6" s="1"/>
  <c r="E53" i="6"/>
  <c r="F53" i="6" s="1"/>
  <c r="E52" i="6"/>
  <c r="F52" i="6" s="1"/>
  <c r="E51" i="6"/>
  <c r="F51" i="6" s="1"/>
  <c r="E50" i="6"/>
  <c r="F50" i="6" s="1"/>
  <c r="E49" i="6"/>
  <c r="F49" i="6" s="1"/>
  <c r="E48" i="6"/>
  <c r="F48" i="6" s="1"/>
  <c r="E47" i="6"/>
  <c r="F47" i="6" s="1"/>
  <c r="E46" i="6"/>
  <c r="F46" i="6" s="1"/>
  <c r="E45" i="6"/>
  <c r="F45" i="6" s="1"/>
  <c r="E44" i="6"/>
  <c r="F44" i="6" s="1"/>
  <c r="E43" i="6"/>
  <c r="F43" i="6" s="1"/>
  <c r="E42" i="6"/>
  <c r="F42" i="6" s="1"/>
  <c r="E41" i="6"/>
  <c r="F41" i="6" s="1"/>
  <c r="E40" i="6"/>
  <c r="F40" i="6" s="1"/>
  <c r="E39" i="6"/>
  <c r="F39" i="6" s="1"/>
  <c r="E38" i="6"/>
  <c r="F38" i="6" s="1"/>
  <c r="E37" i="6"/>
  <c r="F37" i="6" s="1"/>
  <c r="E36" i="6"/>
  <c r="F36" i="6" s="1"/>
  <c r="E35" i="6"/>
  <c r="F35" i="6" s="1"/>
  <c r="E34" i="6"/>
  <c r="F34" i="6" s="1"/>
  <c r="E33" i="6"/>
  <c r="F33" i="6" s="1"/>
  <c r="E32" i="6"/>
  <c r="F32" i="6" s="1"/>
  <c r="E31" i="6"/>
  <c r="F31" i="6" s="1"/>
  <c r="E30" i="6"/>
  <c r="F30" i="6" s="1"/>
  <c r="E29" i="6"/>
  <c r="F29" i="6" s="1"/>
  <c r="E28" i="6"/>
  <c r="F28" i="6" s="1"/>
  <c r="E27" i="6"/>
  <c r="F27" i="6" s="1"/>
  <c r="E26" i="6"/>
  <c r="F26" i="6" s="1"/>
  <c r="E25" i="6"/>
  <c r="F25" i="6" s="1"/>
  <c r="E24" i="6"/>
  <c r="F24" i="6" s="1"/>
  <c r="E23" i="6"/>
  <c r="F23" i="6" s="1"/>
  <c r="E22" i="6"/>
  <c r="F22" i="6" s="1"/>
  <c r="E21" i="6"/>
  <c r="F21" i="6" s="1"/>
  <c r="E20" i="6"/>
  <c r="F20" i="6" s="1"/>
  <c r="E19" i="6"/>
  <c r="F19" i="6" s="1"/>
  <c r="E18" i="6"/>
  <c r="F18" i="6" s="1"/>
  <c r="E17" i="6"/>
  <c r="F17" i="6" s="1"/>
  <c r="E16" i="6"/>
  <c r="F16" i="6" s="1"/>
  <c r="E15" i="6"/>
  <c r="F15" i="6" s="1"/>
  <c r="E14" i="6"/>
  <c r="F14" i="6" s="1"/>
  <c r="E13" i="6"/>
  <c r="F13" i="6" s="1"/>
  <c r="E12" i="6"/>
  <c r="F12" i="6" s="1"/>
  <c r="E11" i="6"/>
  <c r="F11" i="6" s="1"/>
  <c r="E10" i="6"/>
  <c r="F10" i="6" s="1"/>
  <c r="E9" i="6"/>
  <c r="F9" i="6" s="1"/>
  <c r="E8" i="6"/>
  <c r="F8" i="6" s="1"/>
  <c r="E7" i="6"/>
  <c r="F7" i="6" s="1"/>
  <c r="E6" i="6"/>
  <c r="F6" i="6" s="1"/>
  <c r="G59" i="6" s="1"/>
  <c r="E5" i="6"/>
  <c r="F5" i="6" s="1"/>
  <c r="F4" i="6"/>
  <c r="E4" i="6"/>
  <c r="E3" i="6"/>
  <c r="F3" i="6" s="1"/>
  <c r="E2" i="6"/>
  <c r="F2" i="6" s="1"/>
  <c r="E76" i="5"/>
  <c r="F76" i="5" s="1"/>
  <c r="E75" i="5"/>
  <c r="F75" i="5" s="1"/>
  <c r="E74" i="5"/>
  <c r="F74" i="5" s="1"/>
  <c r="E73" i="5"/>
  <c r="F73" i="5" s="1"/>
  <c r="E72" i="5"/>
  <c r="F72" i="5" s="1"/>
  <c r="E71" i="5"/>
  <c r="F71" i="5" s="1"/>
  <c r="E70" i="5"/>
  <c r="F70" i="5" s="1"/>
  <c r="E69" i="5"/>
  <c r="F69" i="5" s="1"/>
  <c r="E68" i="5"/>
  <c r="F68" i="5" s="1"/>
  <c r="E67" i="5"/>
  <c r="F67" i="5" s="1"/>
  <c r="E66" i="5"/>
  <c r="F66" i="5" s="1"/>
  <c r="E65" i="5"/>
  <c r="F65" i="5" s="1"/>
  <c r="E64" i="5"/>
  <c r="F64" i="5" s="1"/>
  <c r="E63" i="5"/>
  <c r="F63" i="5" s="1"/>
  <c r="E62" i="5"/>
  <c r="F62" i="5" s="1"/>
  <c r="E61" i="5"/>
  <c r="F61" i="5" s="1"/>
  <c r="E60" i="5"/>
  <c r="F60" i="5" s="1"/>
  <c r="E59" i="5"/>
  <c r="F59" i="5" s="1"/>
  <c r="E58" i="5"/>
  <c r="F58" i="5" s="1"/>
  <c r="E57" i="5"/>
  <c r="F57" i="5" s="1"/>
  <c r="E56" i="5"/>
  <c r="F56" i="5" s="1"/>
  <c r="E55" i="5"/>
  <c r="F55" i="5" s="1"/>
  <c r="E54" i="5"/>
  <c r="F54" i="5" s="1"/>
  <c r="E53" i="5"/>
  <c r="F53" i="5" s="1"/>
  <c r="E52" i="5"/>
  <c r="F52" i="5" s="1"/>
  <c r="E51" i="5"/>
  <c r="F51" i="5" s="1"/>
  <c r="E50" i="5"/>
  <c r="F50" i="5" s="1"/>
  <c r="E49" i="5"/>
  <c r="F49" i="5" s="1"/>
  <c r="E48" i="5"/>
  <c r="F48" i="5" s="1"/>
  <c r="E47" i="5"/>
  <c r="F47" i="5" s="1"/>
  <c r="E46" i="5"/>
  <c r="F46" i="5" s="1"/>
  <c r="E45" i="5"/>
  <c r="F45" i="5" s="1"/>
  <c r="E44" i="5"/>
  <c r="F44" i="5" s="1"/>
  <c r="E43" i="5"/>
  <c r="F43" i="5" s="1"/>
  <c r="E42" i="5"/>
  <c r="F42" i="5" s="1"/>
  <c r="E41" i="5"/>
  <c r="F41" i="5" s="1"/>
  <c r="E40" i="5"/>
  <c r="F40" i="5" s="1"/>
  <c r="E39" i="5"/>
  <c r="F39" i="5" s="1"/>
  <c r="E38" i="5"/>
  <c r="F38" i="5" s="1"/>
  <c r="E37" i="5"/>
  <c r="F37" i="5" s="1"/>
  <c r="E36" i="5"/>
  <c r="F36" i="5" s="1"/>
  <c r="E35" i="5"/>
  <c r="F35" i="5" s="1"/>
  <c r="E34" i="5"/>
  <c r="F34" i="5" s="1"/>
  <c r="E33" i="5"/>
  <c r="F33" i="5" s="1"/>
  <c r="E32" i="5"/>
  <c r="F32" i="5" s="1"/>
  <c r="E31" i="5"/>
  <c r="F31" i="5" s="1"/>
  <c r="E30" i="5"/>
  <c r="F30" i="5" s="1"/>
  <c r="E29" i="5"/>
  <c r="F29" i="5" s="1"/>
  <c r="E28" i="5"/>
  <c r="F28" i="5" s="1"/>
  <c r="E27" i="5"/>
  <c r="F27" i="5" s="1"/>
  <c r="E26" i="5"/>
  <c r="F26" i="5" s="1"/>
  <c r="E25" i="5"/>
  <c r="F25" i="5" s="1"/>
  <c r="E24" i="5"/>
  <c r="F24" i="5" s="1"/>
  <c r="E23" i="5"/>
  <c r="F23" i="5" s="1"/>
  <c r="E22" i="5"/>
  <c r="F22" i="5" s="1"/>
  <c r="E21" i="5"/>
  <c r="F21" i="5" s="1"/>
  <c r="E20" i="5"/>
  <c r="F20" i="5" s="1"/>
  <c r="E19" i="5"/>
  <c r="F19" i="5" s="1"/>
  <c r="E18" i="5"/>
  <c r="F18" i="5" s="1"/>
  <c r="E17" i="5"/>
  <c r="F17" i="5" s="1"/>
  <c r="E16" i="5"/>
  <c r="F16" i="5" s="1"/>
  <c r="E15" i="5"/>
  <c r="F15" i="5" s="1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E8" i="5"/>
  <c r="F8" i="5" s="1"/>
  <c r="E7" i="5"/>
  <c r="F7" i="5" s="1"/>
  <c r="E6" i="5"/>
  <c r="F6" i="5" s="1"/>
  <c r="E5" i="5"/>
  <c r="F5" i="5" s="1"/>
  <c r="E4" i="5"/>
  <c r="F4" i="5" s="1"/>
  <c r="E3" i="5"/>
  <c r="F3" i="5" s="1"/>
  <c r="E2" i="5"/>
  <c r="F2" i="5" s="1"/>
  <c r="E76" i="4"/>
  <c r="F76" i="4" s="1"/>
  <c r="E75" i="4"/>
  <c r="F75" i="4" s="1"/>
  <c r="E74" i="4"/>
  <c r="F74" i="4" s="1"/>
  <c r="E73" i="4"/>
  <c r="F73" i="4" s="1"/>
  <c r="E72" i="4"/>
  <c r="F72" i="4" s="1"/>
  <c r="E71" i="4"/>
  <c r="F71" i="4" s="1"/>
  <c r="E70" i="4"/>
  <c r="F70" i="4" s="1"/>
  <c r="E69" i="4"/>
  <c r="F69" i="4" s="1"/>
  <c r="E68" i="4"/>
  <c r="F68" i="4" s="1"/>
  <c r="E67" i="4"/>
  <c r="F67" i="4" s="1"/>
  <c r="E66" i="4"/>
  <c r="F66" i="4" s="1"/>
  <c r="E65" i="4"/>
  <c r="F65" i="4" s="1"/>
  <c r="E64" i="4"/>
  <c r="F64" i="4" s="1"/>
  <c r="E63" i="4"/>
  <c r="F63" i="4" s="1"/>
  <c r="E62" i="4"/>
  <c r="F62" i="4" s="1"/>
  <c r="E61" i="4"/>
  <c r="F61" i="4" s="1"/>
  <c r="E60" i="4"/>
  <c r="F60" i="4" s="1"/>
  <c r="E59" i="4"/>
  <c r="F59" i="4" s="1"/>
  <c r="E58" i="4"/>
  <c r="F58" i="4" s="1"/>
  <c r="E57" i="4"/>
  <c r="F57" i="4" s="1"/>
  <c r="E56" i="4"/>
  <c r="F56" i="4" s="1"/>
  <c r="E55" i="4"/>
  <c r="F55" i="4" s="1"/>
  <c r="E54" i="4"/>
  <c r="F54" i="4" s="1"/>
  <c r="E53" i="4"/>
  <c r="F53" i="4" s="1"/>
  <c r="E52" i="4"/>
  <c r="F52" i="4" s="1"/>
  <c r="E51" i="4"/>
  <c r="F51" i="4" s="1"/>
  <c r="E50" i="4"/>
  <c r="F50" i="4" s="1"/>
  <c r="E49" i="4"/>
  <c r="F49" i="4" s="1"/>
  <c r="E48" i="4"/>
  <c r="F48" i="4" s="1"/>
  <c r="E47" i="4"/>
  <c r="F47" i="4" s="1"/>
  <c r="E46" i="4"/>
  <c r="F46" i="4" s="1"/>
  <c r="E45" i="4"/>
  <c r="F45" i="4" s="1"/>
  <c r="E44" i="4"/>
  <c r="F44" i="4" s="1"/>
  <c r="E43" i="4"/>
  <c r="F43" i="4" s="1"/>
  <c r="E42" i="4"/>
  <c r="F42" i="4" s="1"/>
  <c r="E41" i="4"/>
  <c r="F41" i="4" s="1"/>
  <c r="E40" i="4"/>
  <c r="F40" i="4" s="1"/>
  <c r="E39" i="4"/>
  <c r="F39" i="4" s="1"/>
  <c r="E38" i="4"/>
  <c r="F38" i="4" s="1"/>
  <c r="E37" i="4"/>
  <c r="F37" i="4" s="1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G17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E3" i="4"/>
  <c r="F3" i="4" s="1"/>
  <c r="G48" i="4" s="1"/>
  <c r="E2" i="4"/>
  <c r="F2" i="4" s="1"/>
  <c r="E2" i="3"/>
  <c r="E76" i="3"/>
  <c r="F76" i="3" s="1"/>
  <c r="E75" i="3"/>
  <c r="F75" i="3" s="1"/>
  <c r="E74" i="3"/>
  <c r="F74" i="3" s="1"/>
  <c r="E73" i="3"/>
  <c r="F73" i="3" s="1"/>
  <c r="E72" i="3"/>
  <c r="F72" i="3" s="1"/>
  <c r="E71" i="3"/>
  <c r="F71" i="3" s="1"/>
  <c r="E70" i="3"/>
  <c r="F70" i="3" s="1"/>
  <c r="E69" i="3"/>
  <c r="F69" i="3" s="1"/>
  <c r="E68" i="3"/>
  <c r="F68" i="3" s="1"/>
  <c r="E67" i="3"/>
  <c r="F67" i="3" s="1"/>
  <c r="E66" i="3"/>
  <c r="F66" i="3" s="1"/>
  <c r="E65" i="3"/>
  <c r="F65" i="3" s="1"/>
  <c r="E64" i="3"/>
  <c r="F64" i="3" s="1"/>
  <c r="E63" i="3"/>
  <c r="F63" i="3" s="1"/>
  <c r="E62" i="3"/>
  <c r="F62" i="3" s="1"/>
  <c r="E61" i="3"/>
  <c r="F61" i="3" s="1"/>
  <c r="E60" i="3"/>
  <c r="F60" i="3" s="1"/>
  <c r="E59" i="3"/>
  <c r="F59" i="3" s="1"/>
  <c r="E58" i="3"/>
  <c r="F58" i="3" s="1"/>
  <c r="E57" i="3"/>
  <c r="F57" i="3" s="1"/>
  <c r="E56" i="3"/>
  <c r="F56" i="3" s="1"/>
  <c r="E55" i="3"/>
  <c r="F55" i="3" s="1"/>
  <c r="E54" i="3"/>
  <c r="F54" i="3" s="1"/>
  <c r="E53" i="3"/>
  <c r="F53" i="3" s="1"/>
  <c r="E52" i="3"/>
  <c r="F52" i="3" s="1"/>
  <c r="E51" i="3"/>
  <c r="F51" i="3" s="1"/>
  <c r="E50" i="3"/>
  <c r="F50" i="3" s="1"/>
  <c r="E49" i="3"/>
  <c r="F49" i="3" s="1"/>
  <c r="E48" i="3"/>
  <c r="F48" i="3" s="1"/>
  <c r="E47" i="3"/>
  <c r="F47" i="3" s="1"/>
  <c r="E46" i="3"/>
  <c r="F46" i="3" s="1"/>
  <c r="E45" i="3"/>
  <c r="F45" i="3" s="1"/>
  <c r="E44" i="3"/>
  <c r="F44" i="3" s="1"/>
  <c r="E43" i="3"/>
  <c r="F43" i="3" s="1"/>
  <c r="E42" i="3"/>
  <c r="F42" i="3" s="1"/>
  <c r="E41" i="3"/>
  <c r="F41" i="3" s="1"/>
  <c r="E40" i="3"/>
  <c r="F40" i="3" s="1"/>
  <c r="E39" i="3"/>
  <c r="F39" i="3" s="1"/>
  <c r="E38" i="3"/>
  <c r="F38" i="3" s="1"/>
  <c r="E37" i="3"/>
  <c r="F37" i="3" s="1"/>
  <c r="E36" i="3"/>
  <c r="F36" i="3" s="1"/>
  <c r="E35" i="3"/>
  <c r="F35" i="3" s="1"/>
  <c r="E34" i="3"/>
  <c r="F34" i="3" s="1"/>
  <c r="E33" i="3"/>
  <c r="F33" i="3" s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6" i="3"/>
  <c r="F26" i="3" s="1"/>
  <c r="E25" i="3"/>
  <c r="F25" i="3" s="1"/>
  <c r="E24" i="3"/>
  <c r="F24" i="3" s="1"/>
  <c r="E23" i="3"/>
  <c r="F23" i="3" s="1"/>
  <c r="E22" i="3"/>
  <c r="F22" i="3" s="1"/>
  <c r="E21" i="3"/>
  <c r="F21" i="3" s="1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G31" i="3" s="1"/>
  <c r="E7" i="3"/>
  <c r="F7" i="3" s="1"/>
  <c r="G40" i="3" s="1"/>
  <c r="E6" i="3"/>
  <c r="F6" i="3" s="1"/>
  <c r="E5" i="3"/>
  <c r="F5" i="3" s="1"/>
  <c r="E4" i="3"/>
  <c r="F4" i="3" s="1"/>
  <c r="E3" i="3"/>
  <c r="F3" i="3" s="1"/>
  <c r="F2" i="3"/>
  <c r="E3" i="2"/>
  <c r="F3" i="2" s="1"/>
  <c r="E4" i="2"/>
  <c r="G4" i="2" s="1"/>
  <c r="E5" i="2"/>
  <c r="E6" i="2"/>
  <c r="F6" i="2" s="1"/>
  <c r="E7" i="2"/>
  <c r="F7" i="2" s="1"/>
  <c r="E8" i="2"/>
  <c r="E9" i="2"/>
  <c r="E10" i="2"/>
  <c r="E11" i="2"/>
  <c r="F11" i="2" s="1"/>
  <c r="E12" i="2"/>
  <c r="F12" i="2" s="1"/>
  <c r="E13" i="2"/>
  <c r="F13" i="2" s="1"/>
  <c r="E14" i="2"/>
  <c r="F14" i="2" s="1"/>
  <c r="E15" i="2"/>
  <c r="E16" i="2"/>
  <c r="G16" i="2" s="1"/>
  <c r="E17" i="2"/>
  <c r="F17" i="2" s="1"/>
  <c r="E18" i="2"/>
  <c r="F18" i="2" s="1"/>
  <c r="E19" i="2"/>
  <c r="F19" i="2" s="1"/>
  <c r="E20" i="2"/>
  <c r="F20" i="2" s="1"/>
  <c r="E21" i="2"/>
  <c r="E22" i="2"/>
  <c r="E23" i="2"/>
  <c r="F23" i="2" s="1"/>
  <c r="E24" i="2"/>
  <c r="F24" i="2" s="1"/>
  <c r="E25" i="2"/>
  <c r="F25" i="2" s="1"/>
  <c r="E26" i="2"/>
  <c r="F26" i="2" s="1"/>
  <c r="E27" i="2"/>
  <c r="E28" i="2"/>
  <c r="G28" i="2" s="1"/>
  <c r="E29" i="2"/>
  <c r="E30" i="2"/>
  <c r="F30" i="2" s="1"/>
  <c r="E31" i="2"/>
  <c r="F31" i="2" s="1"/>
  <c r="E32" i="2"/>
  <c r="G32" i="2" s="1"/>
  <c r="E33" i="2"/>
  <c r="E34" i="2"/>
  <c r="E35" i="2"/>
  <c r="E36" i="2"/>
  <c r="F36" i="2" s="1"/>
  <c r="E37" i="2"/>
  <c r="F37" i="2" s="1"/>
  <c r="E38" i="2"/>
  <c r="F38" i="2" s="1"/>
  <c r="E39" i="2"/>
  <c r="F39" i="2" s="1"/>
  <c r="E40" i="2"/>
  <c r="G40" i="2" s="1"/>
  <c r="E41" i="2"/>
  <c r="F41" i="2" s="1"/>
  <c r="E42" i="2"/>
  <c r="F42" i="2" s="1"/>
  <c r="E43" i="2"/>
  <c r="F43" i="2" s="1"/>
  <c r="E44" i="2"/>
  <c r="F44" i="2" s="1"/>
  <c r="E45" i="2"/>
  <c r="E46" i="2"/>
  <c r="F46" i="2" s="1"/>
  <c r="E47" i="2"/>
  <c r="E48" i="2"/>
  <c r="F48" i="2" s="1"/>
  <c r="E49" i="2"/>
  <c r="F49" i="2" s="1"/>
  <c r="E50" i="2"/>
  <c r="F50" i="2" s="1"/>
  <c r="E51" i="2"/>
  <c r="G51" i="2" s="1"/>
  <c r="E52" i="2"/>
  <c r="G52" i="2" s="1"/>
  <c r="E53" i="2"/>
  <c r="F53" i="2" s="1"/>
  <c r="E54" i="2"/>
  <c r="F54" i="2" s="1"/>
  <c r="E55" i="2"/>
  <c r="F55" i="2" s="1"/>
  <c r="E56" i="2"/>
  <c r="G56" i="2" s="1"/>
  <c r="E57" i="2"/>
  <c r="E58" i="2"/>
  <c r="E59" i="2"/>
  <c r="E60" i="2"/>
  <c r="F60" i="2" s="1"/>
  <c r="E61" i="2"/>
  <c r="F61" i="2" s="1"/>
  <c r="E62" i="2"/>
  <c r="F62" i="2" s="1"/>
  <c r="E63" i="2"/>
  <c r="F63" i="2" s="1"/>
  <c r="E64" i="2"/>
  <c r="G64" i="2" s="1"/>
  <c r="E65" i="2"/>
  <c r="F65" i="2" s="1"/>
  <c r="E66" i="2"/>
  <c r="F66" i="2" s="1"/>
  <c r="E67" i="2"/>
  <c r="F67" i="2" s="1"/>
  <c r="E68" i="2"/>
  <c r="F68" i="2" s="1"/>
  <c r="E69" i="2"/>
  <c r="E70" i="2"/>
  <c r="E71" i="2"/>
  <c r="F71" i="2" s="1"/>
  <c r="E72" i="2"/>
  <c r="F72" i="2" s="1"/>
  <c r="E73" i="2"/>
  <c r="F73" i="2" s="1"/>
  <c r="E74" i="2"/>
  <c r="F74" i="2" s="1"/>
  <c r="E75" i="2"/>
  <c r="G75" i="2" s="1"/>
  <c r="E76" i="2"/>
  <c r="G76" i="2" s="1"/>
  <c r="E2" i="2"/>
  <c r="F2" i="2" s="1"/>
  <c r="F76" i="2"/>
  <c r="F75" i="2"/>
  <c r="F70" i="2"/>
  <c r="F69" i="2"/>
  <c r="F59" i="2"/>
  <c r="F58" i="2"/>
  <c r="F57" i="2"/>
  <c r="F52" i="2"/>
  <c r="F51" i="2"/>
  <c r="F47" i="2"/>
  <c r="F45" i="2"/>
  <c r="F35" i="2"/>
  <c r="F34" i="2"/>
  <c r="F33" i="2"/>
  <c r="F29" i="2"/>
  <c r="F28" i="2"/>
  <c r="F27" i="2"/>
  <c r="F22" i="2"/>
  <c r="F21" i="2"/>
  <c r="F15" i="2"/>
  <c r="F10" i="2"/>
  <c r="F9" i="2"/>
  <c r="F5" i="2"/>
  <c r="F4" i="2"/>
  <c r="E3" i="1"/>
  <c r="F3" i="1" s="1"/>
  <c r="G17" i="1" s="1"/>
  <c r="E4" i="1"/>
  <c r="F4" i="1" s="1"/>
  <c r="G30" i="1" s="1"/>
  <c r="E5" i="1"/>
  <c r="F5" i="1" s="1"/>
  <c r="G6" i="1" s="1"/>
  <c r="E6" i="1"/>
  <c r="F6" i="1" s="1"/>
  <c r="G8" i="1" s="1"/>
  <c r="E7" i="1"/>
  <c r="F7" i="1" s="1"/>
  <c r="G9" i="1" s="1"/>
  <c r="E8" i="1"/>
  <c r="F8" i="1" s="1"/>
  <c r="E9" i="1"/>
  <c r="F9" i="1" s="1"/>
  <c r="G11" i="1" s="1"/>
  <c r="E10" i="1"/>
  <c r="F10" i="1" s="1"/>
  <c r="G12" i="1" s="1"/>
  <c r="E11" i="1"/>
  <c r="F11" i="1" s="1"/>
  <c r="G25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2" i="1"/>
  <c r="F2" i="1" s="1"/>
  <c r="B9" i="10" l="1"/>
  <c r="F6" i="9"/>
  <c r="F30" i="9"/>
  <c r="F42" i="9"/>
  <c r="G54" i="9"/>
  <c r="G66" i="9"/>
  <c r="F7" i="9"/>
  <c r="F19" i="9"/>
  <c r="F31" i="9"/>
  <c r="F43" i="9"/>
  <c r="G55" i="9"/>
  <c r="F20" i="9"/>
  <c r="F44" i="9"/>
  <c r="G56" i="9"/>
  <c r="G68" i="9"/>
  <c r="F9" i="9"/>
  <c r="F21" i="9"/>
  <c r="F33" i="9"/>
  <c r="F45" i="9"/>
  <c r="F57" i="9"/>
  <c r="F69" i="9"/>
  <c r="G34" i="9"/>
  <c r="G46" i="9"/>
  <c r="F58" i="9"/>
  <c r="G70" i="9"/>
  <c r="F11" i="9"/>
  <c r="F23" i="9"/>
  <c r="F35" i="9"/>
  <c r="G47" i="9"/>
  <c r="F12" i="9"/>
  <c r="G48" i="9"/>
  <c r="G60" i="9"/>
  <c r="F13" i="9"/>
  <c r="F25" i="9"/>
  <c r="F37" i="9"/>
  <c r="F49" i="9"/>
  <c r="F61" i="9"/>
  <c r="F73" i="9"/>
  <c r="F2" i="9"/>
  <c r="F14" i="9"/>
  <c r="F38" i="9"/>
  <c r="F50" i="9"/>
  <c r="F62" i="9"/>
  <c r="G74" i="9"/>
  <c r="F3" i="9"/>
  <c r="F15" i="9"/>
  <c r="F27" i="9"/>
  <c r="F39" i="9"/>
  <c r="F51" i="9"/>
  <c r="G63" i="9"/>
  <c r="G75" i="9"/>
  <c r="F16" i="9"/>
  <c r="F28" i="9"/>
  <c r="F52" i="9"/>
  <c r="G64" i="9"/>
  <c r="G33" i="9"/>
  <c r="G53" i="9"/>
  <c r="G65" i="9"/>
  <c r="F10" i="9"/>
  <c r="F22" i="9"/>
  <c r="F4" i="9"/>
  <c r="G26" i="9" s="1"/>
  <c r="F75" i="9"/>
  <c r="G71" i="9"/>
  <c r="F18" i="9"/>
  <c r="F34" i="9"/>
  <c r="F46" i="9"/>
  <c r="F5" i="9"/>
  <c r="F8" i="9"/>
  <c r="F24" i="9"/>
  <c r="F32" i="9"/>
  <c r="F36" i="9"/>
  <c r="F40" i="9"/>
  <c r="F48" i="9"/>
  <c r="F60" i="9"/>
  <c r="F76" i="9"/>
  <c r="G29" i="8"/>
  <c r="G19" i="8"/>
  <c r="G44" i="8"/>
  <c r="G10" i="8"/>
  <c r="G22" i="8"/>
  <c r="G34" i="8"/>
  <c r="G46" i="8"/>
  <c r="G58" i="8"/>
  <c r="G70" i="8"/>
  <c r="G17" i="8"/>
  <c r="G31" i="8"/>
  <c r="G20" i="8"/>
  <c r="G45" i="8"/>
  <c r="G11" i="8"/>
  <c r="G23" i="8"/>
  <c r="G35" i="8"/>
  <c r="G47" i="8"/>
  <c r="G59" i="8"/>
  <c r="G71" i="8"/>
  <c r="G12" i="8"/>
  <c r="G24" i="8"/>
  <c r="G36" i="8"/>
  <c r="G48" i="8"/>
  <c r="G60" i="8"/>
  <c r="G72" i="8"/>
  <c r="G32" i="8"/>
  <c r="G9" i="8"/>
  <c r="G13" i="8"/>
  <c r="G25" i="8"/>
  <c r="G37" i="8"/>
  <c r="G49" i="8"/>
  <c r="G61" i="8"/>
  <c r="G73" i="8"/>
  <c r="G14" i="8"/>
  <c r="G26" i="8"/>
  <c r="G38" i="8"/>
  <c r="G50" i="8"/>
  <c r="G62" i="8"/>
  <c r="G74" i="8"/>
  <c r="G3" i="8"/>
  <c r="G15" i="8"/>
  <c r="G27" i="8"/>
  <c r="G39" i="8"/>
  <c r="G51" i="8"/>
  <c r="G63" i="8"/>
  <c r="G75" i="8"/>
  <c r="G4" i="8"/>
  <c r="G16" i="8"/>
  <c r="G28" i="8"/>
  <c r="G40" i="8"/>
  <c r="G52" i="8"/>
  <c r="G64" i="8"/>
  <c r="G76" i="8"/>
  <c r="G68" i="7"/>
  <c r="G21" i="7"/>
  <c r="G22" i="7"/>
  <c r="G70" i="7"/>
  <c r="G11" i="7"/>
  <c r="G59" i="7"/>
  <c r="G48" i="7"/>
  <c r="G13" i="7"/>
  <c r="G25" i="7"/>
  <c r="G37" i="7"/>
  <c r="G49" i="7"/>
  <c r="G61" i="7"/>
  <c r="G73" i="7"/>
  <c r="G14" i="7"/>
  <c r="G26" i="7"/>
  <c r="G38" i="7"/>
  <c r="G50" i="7"/>
  <c r="G62" i="7"/>
  <c r="G74" i="7"/>
  <c r="G46" i="7"/>
  <c r="G23" i="7"/>
  <c r="G35" i="7"/>
  <c r="G71" i="7"/>
  <c r="G60" i="7"/>
  <c r="G3" i="7"/>
  <c r="G15" i="7"/>
  <c r="G27" i="7"/>
  <c r="G39" i="7"/>
  <c r="G51" i="7"/>
  <c r="G63" i="7"/>
  <c r="G75" i="7"/>
  <c r="G17" i="7"/>
  <c r="G42" i="7"/>
  <c r="G10" i="7"/>
  <c r="G34" i="7"/>
  <c r="G58" i="7"/>
  <c r="G47" i="7"/>
  <c r="G12" i="7"/>
  <c r="G24" i="7"/>
  <c r="G36" i="7"/>
  <c r="G72" i="7"/>
  <c r="G4" i="7"/>
  <c r="G16" i="7"/>
  <c r="G28" i="7"/>
  <c r="G40" i="7"/>
  <c r="G52" i="7"/>
  <c r="G64" i="7"/>
  <c r="G76" i="7"/>
  <c r="G42" i="6"/>
  <c r="G43" i="6"/>
  <c r="G9" i="6"/>
  <c r="G45" i="6"/>
  <c r="G10" i="6"/>
  <c r="G34" i="6"/>
  <c r="G46" i="6"/>
  <c r="G35" i="6"/>
  <c r="G24" i="6"/>
  <c r="G5" i="6"/>
  <c r="G17" i="6"/>
  <c r="G29" i="6"/>
  <c r="G41" i="6"/>
  <c r="G53" i="6"/>
  <c r="G65" i="6"/>
  <c r="F76" i="6"/>
  <c r="B7" i="10" s="1"/>
  <c r="G7" i="6"/>
  <c r="G19" i="6"/>
  <c r="G8" i="6"/>
  <c r="G20" i="6"/>
  <c r="G57" i="6"/>
  <c r="G11" i="6"/>
  <c r="G23" i="6"/>
  <c r="G13" i="6"/>
  <c r="G37" i="6"/>
  <c r="G14" i="6"/>
  <c r="G26" i="6"/>
  <c r="G38" i="6"/>
  <c r="G50" i="6"/>
  <c r="G62" i="6"/>
  <c r="G74" i="6"/>
  <c r="G6" i="6"/>
  <c r="G18" i="6"/>
  <c r="G44" i="6"/>
  <c r="G21" i="6"/>
  <c r="G22" i="6"/>
  <c r="G47" i="6"/>
  <c r="G12" i="6"/>
  <c r="G36" i="6"/>
  <c r="G25" i="6"/>
  <c r="G3" i="6"/>
  <c r="G15" i="6"/>
  <c r="G27" i="6"/>
  <c r="G39" i="6"/>
  <c r="G51" i="6"/>
  <c r="G63" i="6"/>
  <c r="G75" i="6"/>
  <c r="G30" i="6"/>
  <c r="G31" i="6"/>
  <c r="G32" i="6"/>
  <c r="G33" i="6"/>
  <c r="G16" i="6"/>
  <c r="G28" i="6"/>
  <c r="G40" i="6"/>
  <c r="B6" i="10"/>
  <c r="G7" i="5"/>
  <c r="G19" i="5"/>
  <c r="G31" i="5"/>
  <c r="G67" i="5"/>
  <c r="G4" i="5"/>
  <c r="G16" i="5"/>
  <c r="G28" i="5"/>
  <c r="G40" i="5"/>
  <c r="G52" i="5"/>
  <c r="G64" i="5"/>
  <c r="G76" i="5"/>
  <c r="G5" i="5"/>
  <c r="G17" i="5"/>
  <c r="G29" i="5"/>
  <c r="G41" i="5"/>
  <c r="G53" i="5"/>
  <c r="G65" i="5"/>
  <c r="G6" i="5"/>
  <c r="G18" i="5"/>
  <c r="G30" i="5"/>
  <c r="G42" i="5"/>
  <c r="G54" i="5"/>
  <c r="G66" i="5"/>
  <c r="G45" i="5"/>
  <c r="G10" i="5"/>
  <c r="G22" i="5"/>
  <c r="G58" i="5"/>
  <c r="G35" i="5"/>
  <c r="G59" i="5"/>
  <c r="G24" i="5"/>
  <c r="G60" i="5"/>
  <c r="G13" i="5"/>
  <c r="G25" i="5"/>
  <c r="G37" i="5"/>
  <c r="G49" i="5"/>
  <c r="G61" i="5"/>
  <c r="G73" i="5"/>
  <c r="G55" i="5"/>
  <c r="G8" i="5"/>
  <c r="G20" i="5"/>
  <c r="G32" i="5"/>
  <c r="G44" i="5"/>
  <c r="G68" i="5"/>
  <c r="G33" i="5"/>
  <c r="G57" i="5"/>
  <c r="G46" i="5"/>
  <c r="G47" i="5"/>
  <c r="G12" i="5"/>
  <c r="G36" i="5"/>
  <c r="G72" i="5"/>
  <c r="G14" i="5"/>
  <c r="G26" i="5"/>
  <c r="G38" i="5"/>
  <c r="G50" i="5"/>
  <c r="G62" i="5"/>
  <c r="G74" i="5"/>
  <c r="G43" i="5"/>
  <c r="G56" i="5"/>
  <c r="G9" i="5"/>
  <c r="G21" i="5"/>
  <c r="G69" i="5"/>
  <c r="G34" i="5"/>
  <c r="G70" i="5"/>
  <c r="G11" i="5"/>
  <c r="G23" i="5"/>
  <c r="G71" i="5"/>
  <c r="G48" i="5"/>
  <c r="G3" i="5"/>
  <c r="G15" i="5"/>
  <c r="G27" i="5"/>
  <c r="G39" i="5"/>
  <c r="G51" i="5"/>
  <c r="G63" i="5"/>
  <c r="G75" i="5"/>
  <c r="B5" i="10"/>
  <c r="G30" i="4"/>
  <c r="G31" i="4"/>
  <c r="G45" i="4"/>
  <c r="G22" i="4"/>
  <c r="G20" i="4"/>
  <c r="G44" i="4"/>
  <c r="G10" i="4"/>
  <c r="G46" i="4"/>
  <c r="G11" i="4"/>
  <c r="G35" i="4"/>
  <c r="G36" i="4"/>
  <c r="G19" i="4"/>
  <c r="G33" i="4"/>
  <c r="G34" i="4"/>
  <c r="G24" i="4"/>
  <c r="G7" i="4"/>
  <c r="G8" i="4"/>
  <c r="G9" i="4"/>
  <c r="G58" i="4"/>
  <c r="G13" i="4"/>
  <c r="G25" i="4"/>
  <c r="G37" i="4"/>
  <c r="G49" i="4"/>
  <c r="G61" i="4"/>
  <c r="G73" i="4"/>
  <c r="G14" i="4"/>
  <c r="G26" i="4"/>
  <c r="G38" i="4"/>
  <c r="G50" i="4"/>
  <c r="G62" i="4"/>
  <c r="G74" i="4"/>
  <c r="G3" i="4"/>
  <c r="G15" i="4"/>
  <c r="G27" i="4"/>
  <c r="G39" i="4"/>
  <c r="G51" i="4"/>
  <c r="G63" i="4"/>
  <c r="G75" i="4"/>
  <c r="G4" i="4"/>
  <c r="G16" i="4"/>
  <c r="G28" i="4"/>
  <c r="G40" i="4"/>
  <c r="G52" i="4"/>
  <c r="G64" i="4"/>
  <c r="G76" i="4"/>
  <c r="B4" i="10"/>
  <c r="G44" i="3"/>
  <c r="G17" i="3"/>
  <c r="G19" i="3"/>
  <c r="G8" i="3"/>
  <c r="G68" i="3"/>
  <c r="G10" i="3"/>
  <c r="G18" i="3"/>
  <c r="G42" i="3"/>
  <c r="G20" i="3"/>
  <c r="G56" i="3"/>
  <c r="G9" i="3"/>
  <c r="G21" i="3"/>
  <c r="G33" i="3"/>
  <c r="G45" i="3"/>
  <c r="G57" i="3"/>
  <c r="G69" i="3"/>
  <c r="G22" i="3"/>
  <c r="G34" i="3"/>
  <c r="G46" i="3"/>
  <c r="G58" i="3"/>
  <c r="G70" i="3"/>
  <c r="G11" i="3"/>
  <c r="G23" i="3"/>
  <c r="G35" i="3"/>
  <c r="G47" i="3"/>
  <c r="G59" i="3"/>
  <c r="G71" i="3"/>
  <c r="G12" i="3"/>
  <c r="G24" i="3"/>
  <c r="G36" i="3"/>
  <c r="G48" i="3"/>
  <c r="G60" i="3"/>
  <c r="G72" i="3"/>
  <c r="G13" i="3"/>
  <c r="G25" i="3"/>
  <c r="G37" i="3"/>
  <c r="G49" i="3"/>
  <c r="G61" i="3"/>
  <c r="G73" i="3"/>
  <c r="G14" i="3"/>
  <c r="G26" i="3"/>
  <c r="G38" i="3"/>
  <c r="G50" i="3"/>
  <c r="G62" i="3"/>
  <c r="G74" i="3"/>
  <c r="G3" i="3"/>
  <c r="G15" i="3"/>
  <c r="G27" i="3"/>
  <c r="G39" i="3"/>
  <c r="G51" i="3"/>
  <c r="G63" i="3"/>
  <c r="G75" i="3"/>
  <c r="G29" i="3"/>
  <c r="G32" i="3"/>
  <c r="G28" i="3"/>
  <c r="G6" i="2"/>
  <c r="G5" i="2"/>
  <c r="G8" i="2"/>
  <c r="F8" i="2"/>
  <c r="G22" i="2" s="1"/>
  <c r="G7" i="2"/>
  <c r="G43" i="2"/>
  <c r="G55" i="2"/>
  <c r="G67" i="2"/>
  <c r="F32" i="2"/>
  <c r="F56" i="2"/>
  <c r="G44" i="2"/>
  <c r="G68" i="2"/>
  <c r="G61" i="2"/>
  <c r="G3" i="2"/>
  <c r="G39" i="2"/>
  <c r="G63" i="2"/>
  <c r="F16" i="2"/>
  <c r="G49" i="2" s="1"/>
  <c r="F40" i="2"/>
  <c r="F64" i="2"/>
  <c r="G37" i="2"/>
  <c r="G73" i="2"/>
  <c r="G14" i="2"/>
  <c r="G26" i="2"/>
  <c r="G38" i="2"/>
  <c r="G50" i="2"/>
  <c r="G62" i="2"/>
  <c r="G24" i="1"/>
  <c r="G28" i="1"/>
  <c r="G15" i="1"/>
  <c r="G38" i="1"/>
  <c r="G13" i="1"/>
  <c r="G35" i="1"/>
  <c r="G44" i="1"/>
  <c r="G32" i="1"/>
  <c r="G20" i="1"/>
  <c r="G5" i="1"/>
  <c r="G18" i="1"/>
  <c r="G7" i="1"/>
  <c r="G4" i="1"/>
  <c r="G29" i="1"/>
  <c r="B2" i="10"/>
  <c r="G4" i="9" l="1"/>
  <c r="G5" i="9"/>
  <c r="G49" i="9"/>
  <c r="F63" i="9"/>
  <c r="F64" i="9"/>
  <c r="F66" i="9"/>
  <c r="F74" i="9"/>
  <c r="F56" i="9"/>
  <c r="F59" i="9"/>
  <c r="G50" i="9"/>
  <c r="F55" i="9"/>
  <c r="F47" i="9"/>
  <c r="F67" i="9"/>
  <c r="F54" i="9"/>
  <c r="G3" i="9"/>
  <c r="F70" i="9"/>
  <c r="F72" i="9"/>
  <c r="F68" i="9"/>
  <c r="F26" i="9"/>
  <c r="G44" i="9" s="1"/>
  <c r="G12" i="9"/>
  <c r="G24" i="9"/>
  <c r="G18" i="9"/>
  <c r="G58" i="9"/>
  <c r="G7" i="9"/>
  <c r="G38" i="9"/>
  <c r="G14" i="9"/>
  <c r="G17" i="9"/>
  <c r="G16" i="9"/>
  <c r="G19" i="9"/>
  <c r="G8" i="9"/>
  <c r="G15" i="9"/>
  <c r="G6" i="9"/>
  <c r="G9" i="9"/>
  <c r="G13" i="9"/>
  <c r="G39" i="9"/>
  <c r="G23" i="9"/>
  <c r="G21" i="9"/>
  <c r="G32" i="9"/>
  <c r="G10" i="9"/>
  <c r="G11" i="9"/>
  <c r="G42" i="9"/>
  <c r="G25" i="9"/>
  <c r="G22" i="9"/>
  <c r="G29" i="9"/>
  <c r="G20" i="9"/>
  <c r="G45" i="9"/>
  <c r="G41" i="2"/>
  <c r="G34" i="2"/>
  <c r="G74" i="2"/>
  <c r="G19" i="2"/>
  <c r="G35" i="2"/>
  <c r="G29" i="2"/>
  <c r="G36" i="2"/>
  <c r="G31" i="2"/>
  <c r="G42" i="2"/>
  <c r="G21" i="2"/>
  <c r="G10" i="2"/>
  <c r="G25" i="2"/>
  <c r="G30" i="2"/>
  <c r="G11" i="2"/>
  <c r="G18" i="2"/>
  <c r="G12" i="2"/>
  <c r="G13" i="2"/>
  <c r="G24" i="2"/>
  <c r="B3" i="10"/>
  <c r="G20" i="2"/>
  <c r="G15" i="2"/>
  <c r="G9" i="2"/>
  <c r="G27" i="2"/>
  <c r="G72" i="9" l="1"/>
  <c r="G59" i="9"/>
  <c r="G57" i="9"/>
  <c r="G30" i="9"/>
  <c r="L3" i="9"/>
  <c r="B10" i="10" s="1"/>
  <c r="G76" i="9"/>
  <c r="G35" i="9"/>
  <c r="G73" i="9"/>
  <c r="G27" i="9"/>
  <c r="G43" i="9"/>
  <c r="G61" i="9"/>
  <c r="G31" i="9"/>
  <c r="G62" i="9"/>
  <c r="G37" i="9"/>
  <c r="G69" i="9"/>
  <c r="G36" i="9"/>
  <c r="G28" i="9"/>
  <c r="G40" i="9"/>
  <c r="G51" i="9"/>
  <c r="G41" i="9"/>
  <c r="G67" i="9"/>
  <c r="G52" i="9"/>
  <c r="L8" i="9" l="1"/>
  <c r="G10" i="10" s="1"/>
  <c r="L7" i="9"/>
  <c r="F10" i="10" s="1"/>
  <c r="L4" i="9"/>
  <c r="C10" i="10" s="1"/>
  <c r="L5" i="9"/>
  <c r="D10" i="10" s="1"/>
  <c r="L6" i="9"/>
  <c r="E10" i="10" s="1"/>
</calcChain>
</file>

<file path=xl/sharedStrings.xml><?xml version="1.0" encoding="utf-8"?>
<sst xmlns="http://schemas.openxmlformats.org/spreadsheetml/2006/main" count="1773" uniqueCount="145">
  <si>
    <t>#</t>
  </si>
  <si>
    <t>Nation</t>
  </si>
  <si>
    <t>Confederation</t>
  </si>
  <si>
    <t>Points</t>
  </si>
  <si>
    <t>UEFA</t>
  </si>
  <si>
    <t>CONMEBOL</t>
  </si>
  <si>
    <t>CAF</t>
  </si>
  <si>
    <t>CONCACAF</t>
  </si>
  <si>
    <t>Ivory Coast Ivory Coast</t>
  </si>
  <si>
    <t>AFC</t>
  </si>
  <si>
    <t>Russia</t>
  </si>
  <si>
    <t>Colombia</t>
  </si>
  <si>
    <t>Bolivia</t>
  </si>
  <si>
    <t>Nigeria</t>
  </si>
  <si>
    <t>Romania</t>
  </si>
  <si>
    <t>Bulgaria</t>
  </si>
  <si>
    <t>Argentina</t>
  </si>
  <si>
    <t>Germany</t>
  </si>
  <si>
    <t>Netherlands</t>
  </si>
  <si>
    <t>Brazil</t>
  </si>
  <si>
    <t>Italy</t>
  </si>
  <si>
    <t>Spain</t>
  </si>
  <si>
    <t>Norway</t>
  </si>
  <si>
    <t>Denmark</t>
  </si>
  <si>
    <t>Sweden</t>
  </si>
  <si>
    <t>Switzerland</t>
  </si>
  <si>
    <t>France</t>
  </si>
  <si>
    <t>England</t>
  </si>
  <si>
    <t>Mexico</t>
  </si>
  <si>
    <t>Uruguay</t>
  </si>
  <si>
    <t>Zambia</t>
  </si>
  <si>
    <t>Ivory Coast</t>
  </si>
  <si>
    <t>Portugal</t>
  </si>
  <si>
    <t>Cameroon</t>
  </si>
  <si>
    <t>Egypt</t>
  </si>
  <si>
    <t>Ghana</t>
  </si>
  <si>
    <t>Belgium</t>
  </si>
  <si>
    <t>Morocco</t>
  </si>
  <si>
    <t>Tunisia</t>
  </si>
  <si>
    <t>Greece</t>
  </si>
  <si>
    <t>Poland</t>
  </si>
  <si>
    <t>Scotland</t>
  </si>
  <si>
    <t>Saudi Arabia</t>
  </si>
  <si>
    <t>Wales</t>
  </si>
  <si>
    <t>Austria</t>
  </si>
  <si>
    <t>South Korea</t>
  </si>
  <si>
    <t>Iceland</t>
  </si>
  <si>
    <t>Ecuador</t>
  </si>
  <si>
    <t>Chile</t>
  </si>
  <si>
    <t>Zimbabwe</t>
  </si>
  <si>
    <t>Slovakia</t>
  </si>
  <si>
    <t>Finland</t>
  </si>
  <si>
    <t>Australia</t>
  </si>
  <si>
    <t>Algeria</t>
  </si>
  <si>
    <t>Mali</t>
  </si>
  <si>
    <t>Honduras</t>
  </si>
  <si>
    <t>Costa Rica</t>
  </si>
  <si>
    <t>Japan</t>
  </si>
  <si>
    <t>Israel</t>
  </si>
  <si>
    <t>Canada</t>
  </si>
  <si>
    <t>Senegal</t>
  </si>
  <si>
    <t>Hungary</t>
  </si>
  <si>
    <t>Iran</t>
  </si>
  <si>
    <t>China</t>
  </si>
  <si>
    <t>Paraguay</t>
  </si>
  <si>
    <t>Guinea</t>
  </si>
  <si>
    <t>Zaire</t>
  </si>
  <si>
    <t>Gabon</t>
  </si>
  <si>
    <t>Iraq</t>
  </si>
  <si>
    <t>Sierra Leone</t>
  </si>
  <si>
    <t>Peru</t>
  </si>
  <si>
    <t>El Salvador</t>
  </si>
  <si>
    <t>Qatar</t>
  </si>
  <si>
    <t>Jamaica</t>
  </si>
  <si>
    <t>North Korea</t>
  </si>
  <si>
    <t>Malta</t>
  </si>
  <si>
    <t>Cyprus</t>
  </si>
  <si>
    <t>Kuwait</t>
  </si>
  <si>
    <t>Thailand</t>
  </si>
  <si>
    <t>United States</t>
  </si>
  <si>
    <t>Northern Ireland</t>
  </si>
  <si>
    <t>Czech Republic</t>
  </si>
  <si>
    <t>United Arab Emirates</t>
  </si>
  <si>
    <t>Republic of Ireland</t>
  </si>
  <si>
    <t>Qualified</t>
  </si>
  <si>
    <t>World Cup</t>
  </si>
  <si>
    <t>Qualified 24</t>
  </si>
  <si>
    <t>Penalty</t>
  </si>
  <si>
    <t>Croatia</t>
  </si>
  <si>
    <t>South Africa</t>
  </si>
  <si>
    <t>Lithuania</t>
  </si>
  <si>
    <t xml:space="preserve">Trinidad and </t>
  </si>
  <si>
    <t>Georgia</t>
  </si>
  <si>
    <t>Angola</t>
  </si>
  <si>
    <t>Ukraine</t>
  </si>
  <si>
    <t>Burkina Faso</t>
  </si>
  <si>
    <t>Mozambique</t>
  </si>
  <si>
    <t>North Macedonia</t>
  </si>
  <si>
    <t>Togo</t>
  </si>
  <si>
    <t>Guatemala</t>
  </si>
  <si>
    <t>Namibia</t>
  </si>
  <si>
    <t>Slovenia</t>
  </si>
  <si>
    <t>Uzbekistan</t>
  </si>
  <si>
    <t>Liberia</t>
  </si>
  <si>
    <t>Bahrain</t>
  </si>
  <si>
    <t>Belarus</t>
  </si>
  <si>
    <t>Latvia</t>
  </si>
  <si>
    <t>Venezuela</t>
  </si>
  <si>
    <t>Serbia</t>
  </si>
  <si>
    <t>Benin</t>
  </si>
  <si>
    <t>Montenegro</t>
  </si>
  <si>
    <t>Uganda</t>
  </si>
  <si>
    <t>Panama</t>
  </si>
  <si>
    <t>Armenia</t>
  </si>
  <si>
    <t>Cape Verde</t>
  </si>
  <si>
    <t>Jordan</t>
  </si>
  <si>
    <t>Libya</t>
  </si>
  <si>
    <t>Albania</t>
  </si>
  <si>
    <t>Haiti</t>
  </si>
  <si>
    <t>Syria</t>
  </si>
  <si>
    <t>Oman</t>
  </si>
  <si>
    <t>Trinidad and Tobago</t>
  </si>
  <si>
    <t>Bosnia-Herzegovina</t>
  </si>
  <si>
    <t>Democratic Republic of the Congo</t>
  </si>
  <si>
    <t>Serbia and Montenegro</t>
  </si>
  <si>
    <t>Northern Irelandand</t>
  </si>
  <si>
    <t>Bosnia-Herzegovinagovina</t>
  </si>
  <si>
    <t>Bosnia and Herzegovina</t>
  </si>
  <si>
    <t>New Zealand</t>
  </si>
  <si>
    <t>Turkey</t>
  </si>
  <si>
    <t>FR Yugoslavia</t>
  </si>
  <si>
    <t>global penalty score</t>
  </si>
  <si>
    <t>AFC (Asia) penalty score</t>
  </si>
  <si>
    <t>CAF (Africa) penalty score</t>
  </si>
  <si>
    <t>CONCACAF (N. America) penalty score</t>
  </si>
  <si>
    <t>CONMEBOL (S. America) penalty score</t>
  </si>
  <si>
    <t>UEFA (Europe) penalty score</t>
  </si>
  <si>
    <t>non qualify penalty</t>
  </si>
  <si>
    <t>points</t>
  </si>
  <si>
    <t>confederation</t>
  </si>
  <si>
    <t>nation</t>
  </si>
  <si>
    <t>qualifying penalty</t>
  </si>
  <si>
    <t>world cup</t>
  </si>
  <si>
    <t>Ireland</t>
  </si>
  <si>
    <t>Curaçao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</si>
</sst>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storico!$B$1</c:f>
              <c:strCache>
                <c:ptCount val="1"/>
                <c:pt idx="0">
                  <c:v>global penalty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storico!$A$2:$A$10</c:f>
              <c:numCache>
                <c:formatCode>General</c:formatCode>
                <c:ptCount val="9"/>
                <c:pt idx="0">
                  <c:v>1994</c:v>
                </c:pt>
                <c:pt idx="1">
                  <c:v>1998</c:v>
                </c:pt>
                <c:pt idx="2">
                  <c:v>2002</c:v>
                </c:pt>
                <c:pt idx="3">
                  <c:v>2006</c:v>
                </c:pt>
                <c:pt idx="4">
                  <c:v>2010</c:v>
                </c:pt>
                <c:pt idx="5">
                  <c:v>2014</c:v>
                </c:pt>
                <c:pt idx="6">
                  <c:v>2018</c:v>
                </c:pt>
                <c:pt idx="7">
                  <c:v>2022</c:v>
                </c:pt>
                <c:pt idx="8">
                  <c:v>2026</c:v>
                </c:pt>
              </c:numCache>
            </c:numRef>
          </c:cat>
          <c:val>
            <c:numRef>
              <c:f>storico!$B$2:$B$10</c:f>
              <c:numCache>
                <c:formatCode>0.00</c:formatCode>
                <c:ptCount val="9"/>
                <c:pt idx="0">
                  <c:v>32.628976909320116</c:v>
                </c:pt>
                <c:pt idx="1">
                  <c:v>42.212852837476447</c:v>
                </c:pt>
                <c:pt idx="2">
                  <c:v>40.613611262401193</c:v>
                </c:pt>
                <c:pt idx="3">
                  <c:v>38.281784643632442</c:v>
                </c:pt>
                <c:pt idx="4">
                  <c:v>38.006083153770525</c:v>
                </c:pt>
                <c:pt idx="5">
                  <c:v>31.389441939908103</c:v>
                </c:pt>
                <c:pt idx="6">
                  <c:v>36.271667646261996</c:v>
                </c:pt>
                <c:pt idx="7">
                  <c:v>35.261065020965141</c:v>
                </c:pt>
                <c:pt idx="8">
                  <c:v>33.659677971982291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1-4409-A8B8-1403323BA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721056"/>
        <c:axId val="1460731616"/>
      </c:lineChart>
      <c:catAx>
        <c:axId val="146072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0731616"/>
        <c:crosses val="autoZero"/>
        <c:auto val="1"/>
        <c:lblAlgn val="ctr"/>
        <c:lblOffset val="100"/>
        <c:noMultiLvlLbl val="0"/>
      </c:catAx>
      <c:valAx>
        <c:axId val="14607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607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continental penalty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storico!$C$1</c:f>
              <c:strCache>
                <c:ptCount val="1"/>
                <c:pt idx="0">
                  <c:v>UEFA (Europe) penalty score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storico!$A$2:$A$10</c:f>
              <c:numCache>
                <c:formatCode>General</c:formatCode>
                <c:ptCount val="9"/>
                <c:pt idx="0">
                  <c:v>1994</c:v>
                </c:pt>
                <c:pt idx="1">
                  <c:v>1998</c:v>
                </c:pt>
                <c:pt idx="2">
                  <c:v>2002</c:v>
                </c:pt>
                <c:pt idx="3">
                  <c:v>2006</c:v>
                </c:pt>
                <c:pt idx="4">
                  <c:v>2010</c:v>
                </c:pt>
                <c:pt idx="5">
                  <c:v>2014</c:v>
                </c:pt>
                <c:pt idx="6">
                  <c:v>2018</c:v>
                </c:pt>
                <c:pt idx="7">
                  <c:v>2022</c:v>
                </c:pt>
                <c:pt idx="8">
                  <c:v>2026</c:v>
                </c:pt>
              </c:numCache>
            </c:numRef>
          </c:cat>
          <c:val>
            <c:numRef>
              <c:f>storico!$C$2:$C$10</c:f>
              <c:numCache>
                <c:formatCode>0.00</c:formatCode>
                <c:ptCount val="9"/>
                <c:pt idx="0">
                  <c:v>18.070929070929068</c:v>
                </c:pt>
                <c:pt idx="1">
                  <c:v>45.814246911976113</c:v>
                </c:pt>
                <c:pt idx="2">
                  <c:v>40.820051807932131</c:v>
                </c:pt>
                <c:pt idx="3">
                  <c:v>28.908858377742558</c:v>
                </c:pt>
                <c:pt idx="4">
                  <c:v>17.751387888626962</c:v>
                </c:pt>
                <c:pt idx="5">
                  <c:v>1.9230769230769231</c:v>
                </c:pt>
                <c:pt idx="6">
                  <c:v>19.904244181544648</c:v>
                </c:pt>
                <c:pt idx="7">
                  <c:v>14.820119352088662</c:v>
                </c:pt>
                <c:pt idx="8">
                  <c:v>13.184387382922949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BC-4447-B149-8A2080F8DEAB}"/>
            </c:ext>
          </c:extLst>
        </c:ser>
        <c:ser>
          <c:idx val="1"/>
          <c:order val="1"/>
          <c:tx>
            <c:strRef>
              <c:f>storico!$D$1</c:f>
              <c:strCache>
                <c:ptCount val="1"/>
                <c:pt idx="0">
                  <c:v>CONMEBOL (S. America) penalty score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storico!$A$2:$A$10</c:f>
              <c:numCache>
                <c:formatCode>General</c:formatCode>
                <c:ptCount val="9"/>
                <c:pt idx="0">
                  <c:v>1994</c:v>
                </c:pt>
                <c:pt idx="1">
                  <c:v>1998</c:v>
                </c:pt>
                <c:pt idx="2">
                  <c:v>2002</c:v>
                </c:pt>
                <c:pt idx="3">
                  <c:v>2006</c:v>
                </c:pt>
                <c:pt idx="4">
                  <c:v>2010</c:v>
                </c:pt>
                <c:pt idx="5">
                  <c:v>2014</c:v>
                </c:pt>
                <c:pt idx="6">
                  <c:v>2018</c:v>
                </c:pt>
                <c:pt idx="7">
                  <c:v>2022</c:v>
                </c:pt>
                <c:pt idx="8">
                  <c:v>2026</c:v>
                </c:pt>
              </c:numCache>
            </c:numRef>
          </c:cat>
          <c:val>
            <c:numRef>
              <c:f>storico!$D$2:$D$10</c:f>
              <c:numCache>
                <c:formatCode>0.00</c:formatCode>
                <c:ptCount val="9"/>
                <c:pt idx="0">
                  <c:v>26.572113732615975</c:v>
                </c:pt>
                <c:pt idx="1">
                  <c:v>31.699831649831651</c:v>
                </c:pt>
                <c:pt idx="2">
                  <c:v>32.98494174858272</c:v>
                </c:pt>
                <c:pt idx="3">
                  <c:v>32.609271080533439</c:v>
                </c:pt>
                <c:pt idx="4">
                  <c:v>20.406373236957943</c:v>
                </c:pt>
                <c:pt idx="5">
                  <c:v>2.4329710144927534</c:v>
                </c:pt>
                <c:pt idx="6">
                  <c:v>6.666666666666667</c:v>
                </c:pt>
                <c:pt idx="7">
                  <c:v>19.898662427702135</c:v>
                </c:pt>
                <c:pt idx="8">
                  <c:v>10.190660426759745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BC-4447-B149-8A2080F8DEAB}"/>
            </c:ext>
          </c:extLst>
        </c:ser>
        <c:ser>
          <c:idx val="2"/>
          <c:order val="2"/>
          <c:tx>
            <c:strRef>
              <c:f>storico!$E$1</c:f>
              <c:strCache>
                <c:ptCount val="1"/>
                <c:pt idx="0">
                  <c:v>CONCACAF (N. America) penalty score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storico!$A$2:$A$10</c:f>
              <c:numCache>
                <c:formatCode>General</c:formatCode>
                <c:ptCount val="9"/>
                <c:pt idx="0">
                  <c:v>1994</c:v>
                </c:pt>
                <c:pt idx="1">
                  <c:v>1998</c:v>
                </c:pt>
                <c:pt idx="2">
                  <c:v>2002</c:v>
                </c:pt>
                <c:pt idx="3">
                  <c:v>2006</c:v>
                </c:pt>
                <c:pt idx="4">
                  <c:v>2010</c:v>
                </c:pt>
                <c:pt idx="5">
                  <c:v>2014</c:v>
                </c:pt>
                <c:pt idx="6">
                  <c:v>2018</c:v>
                </c:pt>
                <c:pt idx="7">
                  <c:v>2022</c:v>
                </c:pt>
                <c:pt idx="8">
                  <c:v>2026</c:v>
                </c:pt>
              </c:numCache>
            </c:numRef>
          </c:cat>
          <c:val>
            <c:numRef>
              <c:f>storico!$E$2:$E$10</c:f>
              <c:numCache>
                <c:formatCode>0.00</c:formatCode>
                <c:ptCount val="9"/>
                <c:pt idx="0">
                  <c:v>35.401542901542904</c:v>
                </c:pt>
                <c:pt idx="1">
                  <c:v>41.7219416386083</c:v>
                </c:pt>
                <c:pt idx="2">
                  <c:v>38.527065527065531</c:v>
                </c:pt>
                <c:pt idx="3">
                  <c:v>32.357508852515778</c:v>
                </c:pt>
                <c:pt idx="4">
                  <c:v>36.874004924979431</c:v>
                </c:pt>
                <c:pt idx="5">
                  <c:v>13.996368807083915</c:v>
                </c:pt>
                <c:pt idx="6">
                  <c:v>42.604249038258494</c:v>
                </c:pt>
                <c:pt idx="7">
                  <c:v>32.982297314273787</c:v>
                </c:pt>
                <c:pt idx="8">
                  <c:v>11.607142857142854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BC-4447-B149-8A2080F8DEAB}"/>
            </c:ext>
          </c:extLst>
        </c:ser>
        <c:ser>
          <c:idx val="3"/>
          <c:order val="3"/>
          <c:tx>
            <c:strRef>
              <c:f>storico!$F$1</c:f>
              <c:strCache>
                <c:ptCount val="1"/>
                <c:pt idx="0">
                  <c:v>CAF (Africa) penalty score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storico!$A$2:$A$10</c:f>
              <c:numCache>
                <c:formatCode>General</c:formatCode>
                <c:ptCount val="9"/>
                <c:pt idx="0">
                  <c:v>1994</c:v>
                </c:pt>
                <c:pt idx="1">
                  <c:v>1998</c:v>
                </c:pt>
                <c:pt idx="2">
                  <c:v>2002</c:v>
                </c:pt>
                <c:pt idx="3">
                  <c:v>2006</c:v>
                </c:pt>
                <c:pt idx="4">
                  <c:v>2010</c:v>
                </c:pt>
                <c:pt idx="5">
                  <c:v>2014</c:v>
                </c:pt>
                <c:pt idx="6">
                  <c:v>2018</c:v>
                </c:pt>
                <c:pt idx="7">
                  <c:v>2022</c:v>
                </c:pt>
                <c:pt idx="8">
                  <c:v>2026</c:v>
                </c:pt>
              </c:numCache>
            </c:numRef>
          </c:cat>
          <c:val>
            <c:numRef>
              <c:f>storico!$F$2:$F$10</c:f>
              <c:numCache>
                <c:formatCode>0.00</c:formatCode>
                <c:ptCount val="9"/>
                <c:pt idx="0">
                  <c:v>36.541088541088548</c:v>
                </c:pt>
                <c:pt idx="1">
                  <c:v>69.727690178627341</c:v>
                </c:pt>
                <c:pt idx="2">
                  <c:v>59.191837365035816</c:v>
                </c:pt>
                <c:pt idx="3">
                  <c:v>75.040834497368706</c:v>
                </c:pt>
                <c:pt idx="4">
                  <c:v>37.875784884780387</c:v>
                </c:pt>
                <c:pt idx="5">
                  <c:v>36.364797819612896</c:v>
                </c:pt>
                <c:pt idx="6">
                  <c:v>55.913302493120121</c:v>
                </c:pt>
                <c:pt idx="7">
                  <c:v>47.151299642616138</c:v>
                </c:pt>
                <c:pt idx="8">
                  <c:v>36.224090233587731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BC-4447-B149-8A2080F8DEAB}"/>
            </c:ext>
          </c:extLst>
        </c:ser>
        <c:ser>
          <c:idx val="4"/>
          <c:order val="4"/>
          <c:tx>
            <c:strRef>
              <c:f>storico!$G$1</c:f>
              <c:strCache>
                <c:ptCount val="1"/>
                <c:pt idx="0">
                  <c:v>AFC (Asia) penalty score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storico!$A$2:$A$10</c:f>
              <c:numCache>
                <c:formatCode>General</c:formatCode>
                <c:ptCount val="9"/>
                <c:pt idx="0">
                  <c:v>1994</c:v>
                </c:pt>
                <c:pt idx="1">
                  <c:v>1998</c:v>
                </c:pt>
                <c:pt idx="2">
                  <c:v>2002</c:v>
                </c:pt>
                <c:pt idx="3">
                  <c:v>2006</c:v>
                </c:pt>
                <c:pt idx="4">
                  <c:v>2010</c:v>
                </c:pt>
                <c:pt idx="5">
                  <c:v>2014</c:v>
                </c:pt>
                <c:pt idx="6">
                  <c:v>2018</c:v>
                </c:pt>
                <c:pt idx="7">
                  <c:v>2022</c:v>
                </c:pt>
                <c:pt idx="8">
                  <c:v>2026</c:v>
                </c:pt>
              </c:numCache>
            </c:numRef>
          </c:cat>
          <c:val>
            <c:numRef>
              <c:f>storico!$G$2:$G$10</c:f>
              <c:numCache>
                <c:formatCode>0.00</c:formatCode>
                <c:ptCount val="9"/>
                <c:pt idx="0">
                  <c:v>65.485250860250858</c:v>
                </c:pt>
                <c:pt idx="1">
                  <c:v>54.989856181706777</c:v>
                </c:pt>
                <c:pt idx="2">
                  <c:v>67.570086346765351</c:v>
                </c:pt>
                <c:pt idx="3">
                  <c:v>55.894291996839904</c:v>
                </c:pt>
                <c:pt idx="4">
                  <c:v>56.703330442459176</c:v>
                </c:pt>
                <c:pt idx="5">
                  <c:v>65.166040317773295</c:v>
                </c:pt>
                <c:pt idx="6">
                  <c:v>81.302503768048211</c:v>
                </c:pt>
                <c:pt idx="7">
                  <c:v>47.780199648096975</c:v>
                </c:pt>
                <c:pt idx="8">
                  <c:v>33.621793354932983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BC-4447-B149-8A2080F8D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71824"/>
        <c:axId val="1549772784"/>
      </c:lineChart>
      <c:catAx>
        <c:axId val="154977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9772784"/>
        <c:crosses val="autoZero"/>
        <c:auto val="1"/>
        <c:lblAlgn val="ctr"/>
        <c:lblOffset val="100"/>
        <c:noMultiLvlLbl val="0"/>
      </c:catAx>
      <c:valAx>
        <c:axId val="154977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977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193671213633508E-2"/>
          <c:y val="0.79601089088283683"/>
          <c:w val="0.95312214615568969"/>
          <c:h val="0.172186294441770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73046</xdr:colOff>
      <xdr:row>0</xdr:row>
      <xdr:rowOff>52553</xdr:rowOff>
    </xdr:from>
    <xdr:to>
      <xdr:col>13</xdr:col>
      <xdr:colOff>556259</xdr:colOff>
      <xdr:row>19</xdr:row>
      <xdr:rowOff>38100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0B0B722-0EA6-F587-AEED-C52D5B9DB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45720</xdr:colOff>
      <xdr:row>0</xdr:row>
      <xdr:rowOff>48084</xdr:rowOff>
    </xdr:from>
    <xdr:to>
      <xdr:col>22</xdr:col>
      <xdr:colOff>579120</xdr:colOff>
      <xdr:row>19</xdr:row>
      <xdr:rowOff>53339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C754E6C4-D389-0717-BD0F-21DBA33B3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2A15-42F2-4FC6-A613-E5B7D09E490D}">
  <dimension ref="A1:G10"/>
  <sheetViews>
    <sheetView zoomScaleNormal="100" workbookViewId="0">
      <selection activeCell="E13" sqref="E13"/>
    </sheetView>
  </sheetViews>
  <sheetFormatPr defaultRowHeight="14.4" x14ac:dyDescent="0.3"/>
  <cols>
    <col min="1" max="1" width="9.109375" bestFit="1" customWidth="1"/>
    <col min="2" max="2" width="5.77734375" customWidth="1"/>
    <col min="3" max="3" width="6.77734375" customWidth="1"/>
    <col min="4" max="4" width="10.5546875" customWidth="1"/>
    <col min="5" max="5" width="10.44140625" customWidth="1"/>
    <col min="6" max="6" width="10.5546875" customWidth="1"/>
    <col min="7" max="7" width="9.21875" customWidth="1"/>
  </cols>
  <sheetData>
    <row r="1" spans="1:7" s="1" customFormat="1" x14ac:dyDescent="0.3">
      <c r="A1" s="1" t="s">
        <v>142</v>
      </c>
      <c r="B1" s="1" t="str">
        <f>'1994'!K3</f>
        <v>global penalty score</v>
      </c>
      <c r="C1" s="1" t="str">
        <f>'1994'!K4</f>
        <v>UEFA (Europe) penalty score</v>
      </c>
      <c r="D1" s="1" t="str">
        <f>'1994'!K5</f>
        <v>CONMEBOL (S. America) penalty score</v>
      </c>
      <c r="E1" s="1" t="str">
        <f>'1994'!K6</f>
        <v>CONCACAF (N. America) penalty score</v>
      </c>
      <c r="F1" s="1" t="str">
        <f>'1994'!K7</f>
        <v>CAF (Africa) penalty score</v>
      </c>
      <c r="G1" s="1" t="str">
        <f>'1994'!K8</f>
        <v>AFC (Asia) penalty score</v>
      </c>
    </row>
    <row r="2" spans="1:7" x14ac:dyDescent="0.3">
      <c r="A2">
        <v>1994</v>
      </c>
      <c r="B2" s="2">
        <f>'1994'!L3</f>
        <v>32.628976909320116</v>
      </c>
      <c r="C2" s="2">
        <f>'1994'!L4</f>
        <v>18.070929070929068</v>
      </c>
      <c r="D2" s="2">
        <f>'1994'!L5</f>
        <v>26.572113732615975</v>
      </c>
      <c r="E2" s="2">
        <f>'1994'!L6</f>
        <v>35.401542901542904</v>
      </c>
      <c r="F2" s="2">
        <f>'1994'!L7</f>
        <v>36.541088541088548</v>
      </c>
      <c r="G2" s="2">
        <f>'1994'!L8</f>
        <v>65.485250860250858</v>
      </c>
    </row>
    <row r="3" spans="1:7" x14ac:dyDescent="0.3">
      <c r="A3">
        <v>1998</v>
      </c>
      <c r="B3" s="2">
        <f>'1998'!L3</f>
        <v>42.212852837476447</v>
      </c>
      <c r="C3" s="2">
        <f>'1998'!L4</f>
        <v>45.814246911976113</v>
      </c>
      <c r="D3" s="2">
        <f>'1998'!L5</f>
        <v>31.699831649831651</v>
      </c>
      <c r="E3" s="2">
        <f>'1998'!L6</f>
        <v>41.7219416386083</v>
      </c>
      <c r="F3" s="2">
        <f>'1998'!L7</f>
        <v>69.727690178627341</v>
      </c>
      <c r="G3" s="2">
        <f>'1998'!L8</f>
        <v>54.989856181706777</v>
      </c>
    </row>
    <row r="4" spans="1:7" x14ac:dyDescent="0.3">
      <c r="A4">
        <v>2002</v>
      </c>
      <c r="B4" s="2">
        <f>'2002'!L3</f>
        <v>40.613611262401193</v>
      </c>
      <c r="C4" s="2">
        <f>'2002'!L4</f>
        <v>40.820051807932131</v>
      </c>
      <c r="D4" s="2">
        <f>'2002'!L5</f>
        <v>32.98494174858272</v>
      </c>
      <c r="E4" s="2">
        <f>'2002'!L6</f>
        <v>38.527065527065531</v>
      </c>
      <c r="F4" s="2">
        <f>'2002'!L7</f>
        <v>59.191837365035816</v>
      </c>
      <c r="G4" s="2">
        <f>'2002'!L8</f>
        <v>67.570086346765351</v>
      </c>
    </row>
    <row r="5" spans="1:7" x14ac:dyDescent="0.3">
      <c r="A5">
        <v>2006</v>
      </c>
      <c r="B5" s="2">
        <f>'2006'!L3</f>
        <v>38.281784643632442</v>
      </c>
      <c r="C5" s="2">
        <f>'2006'!L4</f>
        <v>28.908858377742558</v>
      </c>
      <c r="D5" s="2">
        <f>'2006'!L5</f>
        <v>32.609271080533439</v>
      </c>
      <c r="E5" s="2">
        <f>'2006'!L6</f>
        <v>32.357508852515778</v>
      </c>
      <c r="F5" s="2">
        <f>'2006'!L7</f>
        <v>75.040834497368706</v>
      </c>
      <c r="G5" s="2">
        <f>'2006'!L8</f>
        <v>55.894291996839904</v>
      </c>
    </row>
    <row r="6" spans="1:7" x14ac:dyDescent="0.3">
      <c r="A6">
        <v>2010</v>
      </c>
      <c r="B6" s="2">
        <f>'2010'!L3</f>
        <v>38.006083153770525</v>
      </c>
      <c r="C6" s="2">
        <f>'2010'!L4</f>
        <v>17.751387888626962</v>
      </c>
      <c r="D6" s="2">
        <f>'2010'!L5</f>
        <v>20.406373236957943</v>
      </c>
      <c r="E6" s="2">
        <f>'2010'!L6</f>
        <v>36.874004924979431</v>
      </c>
      <c r="F6" s="2">
        <f>'2010'!L7</f>
        <v>37.875784884780387</v>
      </c>
      <c r="G6" s="2">
        <f>'2010'!L8</f>
        <v>56.703330442459176</v>
      </c>
    </row>
    <row r="7" spans="1:7" x14ac:dyDescent="0.3">
      <c r="A7">
        <v>2014</v>
      </c>
      <c r="B7" s="2">
        <f>'2014'!L3</f>
        <v>31.389441939908103</v>
      </c>
      <c r="C7" s="2">
        <f>'2014'!L4</f>
        <v>1.9230769230769231</v>
      </c>
      <c r="D7" s="2">
        <f>'2014'!L5</f>
        <v>2.4329710144927534</v>
      </c>
      <c r="E7" s="2">
        <f>'2014'!L6</f>
        <v>13.996368807083915</v>
      </c>
      <c r="F7" s="2">
        <f>'2014'!L7</f>
        <v>36.364797819612896</v>
      </c>
      <c r="G7" s="2">
        <f>'2014'!L8</f>
        <v>65.166040317773295</v>
      </c>
    </row>
    <row r="8" spans="1:7" x14ac:dyDescent="0.3">
      <c r="A8">
        <v>2018</v>
      </c>
      <c r="B8" s="2">
        <f>'2018'!L3</f>
        <v>36.271667646261996</v>
      </c>
      <c r="C8" s="2">
        <f>'2018'!L4</f>
        <v>19.904244181544648</v>
      </c>
      <c r="D8" s="2">
        <f>'2018'!L5</f>
        <v>6.666666666666667</v>
      </c>
      <c r="E8" s="2">
        <f>'2018'!L6</f>
        <v>42.604249038258494</v>
      </c>
      <c r="F8" s="2">
        <f>'2018'!L7</f>
        <v>55.913302493120121</v>
      </c>
      <c r="G8" s="2">
        <f>'2018'!L8</f>
        <v>81.302503768048211</v>
      </c>
    </row>
    <row r="9" spans="1:7" x14ac:dyDescent="0.3">
      <c r="A9">
        <v>2022</v>
      </c>
      <c r="B9" s="2">
        <f>'2022'!L3</f>
        <v>35.261065020965141</v>
      </c>
      <c r="C9" s="2">
        <f>'2022'!L4</f>
        <v>14.820119352088662</v>
      </c>
      <c r="D9" s="2">
        <f>'2022'!L5</f>
        <v>19.898662427702135</v>
      </c>
      <c r="E9" s="2">
        <f>'2022'!L6</f>
        <v>32.982297314273787</v>
      </c>
      <c r="F9" s="2">
        <f>'2022'!L7</f>
        <v>47.151299642616138</v>
      </c>
      <c r="G9" s="2">
        <f>'2022'!L8</f>
        <v>47.780199648096975</v>
      </c>
    </row>
    <row r="10" spans="1:7" x14ac:dyDescent="0.3">
      <c r="A10">
        <v>2026</v>
      </c>
      <c r="B10" s="2">
        <f>'2026'!L3</f>
        <v>33.659677971982291</v>
      </c>
      <c r="C10" s="2">
        <f>'2026'!L4</f>
        <v>13.184387382922949</v>
      </c>
      <c r="D10" s="2">
        <f>'2026'!L5</f>
        <v>10.190660426759745</v>
      </c>
      <c r="E10" s="2">
        <f>'2026'!L6</f>
        <v>11.607142857142854</v>
      </c>
      <c r="F10" s="2">
        <f>'2026'!L7</f>
        <v>36.224090233587731</v>
      </c>
      <c r="G10" s="2">
        <f>'2026'!L8</f>
        <v>33.621793354932983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7DC6-6334-4410-8C07-DC0092E847E0}">
  <dimension ref="A1:L76"/>
  <sheetViews>
    <sheetView zoomScaleNormal="100" workbookViewId="0">
      <selection activeCell="L3" sqref="L3"/>
    </sheetView>
  </sheetViews>
  <sheetFormatPr defaultRowHeight="14.4" x14ac:dyDescent="0.3"/>
  <cols>
    <col min="1" max="1" width="3" bestFit="1" customWidth="1"/>
    <col min="2" max="2" width="18.88671875" bestFit="1" customWidth="1"/>
    <col min="3" max="3" width="12.5546875" bestFit="1" customWidth="1"/>
    <col min="4" max="4" width="6.21875" bestFit="1" customWidth="1"/>
    <col min="5" max="5" width="9.6640625" bestFit="1" customWidth="1"/>
    <col min="6" max="6" width="16.6640625" bestFit="1" customWidth="1"/>
    <col min="7" max="7" width="15.77734375" bestFit="1" customWidth="1"/>
    <col min="8" max="8" width="14.44140625" customWidth="1"/>
    <col min="9" max="9" width="15.88671875" bestFit="1" customWidth="1"/>
    <col min="11" max="11" width="32.5546875" bestFit="1" customWidth="1"/>
    <col min="12" max="12" width="7.5546875" bestFit="1" customWidth="1"/>
  </cols>
  <sheetData>
    <row r="1" spans="1:12" s="1" customFormat="1" x14ac:dyDescent="0.3">
      <c r="A1" s="1" t="s">
        <v>0</v>
      </c>
      <c r="B1" s="1" t="s">
        <v>140</v>
      </c>
      <c r="C1" s="1" t="s">
        <v>139</v>
      </c>
      <c r="D1" s="1" t="s">
        <v>138</v>
      </c>
      <c r="E1" s="1" t="s">
        <v>85</v>
      </c>
      <c r="F1" s="1" t="s">
        <v>137</v>
      </c>
      <c r="G1" s="1" t="s">
        <v>141</v>
      </c>
      <c r="I1" s="1" t="s">
        <v>86</v>
      </c>
    </row>
    <row r="2" spans="1:12" x14ac:dyDescent="0.3">
      <c r="A2">
        <v>1</v>
      </c>
      <c r="B2" t="s">
        <v>17</v>
      </c>
      <c r="C2" t="s">
        <v>4</v>
      </c>
      <c r="D2">
        <v>60</v>
      </c>
      <c r="E2">
        <f>IF(COUNTIF($I$2:$I$25,B2)&gt;0,1,0)</f>
        <v>1</v>
      </c>
      <c r="F2" s="2" t="str">
        <f>IF(E2=1,"",1/A2)</f>
        <v/>
      </c>
      <c r="G2" s="2">
        <v>0</v>
      </c>
      <c r="I2" t="s">
        <v>79</v>
      </c>
    </row>
    <row r="3" spans="1:12" x14ac:dyDescent="0.3">
      <c r="A3">
        <v>2</v>
      </c>
      <c r="B3" t="s">
        <v>18</v>
      </c>
      <c r="C3" t="s">
        <v>4</v>
      </c>
      <c r="D3">
        <v>59</v>
      </c>
      <c r="E3">
        <f t="shared" ref="E3:E66" si="0">IF(COUNTIF($I$2:$I$25,B3)&gt;0,1,0)</f>
        <v>1</v>
      </c>
      <c r="F3" s="2" t="str">
        <f t="shared" ref="F3:F66" si="1">IF(E3=1,"",1/A3)</f>
        <v/>
      </c>
      <c r="G3" s="2">
        <f>IF(E3=1,SUM(F2:$F$3),"")</f>
        <v>0</v>
      </c>
      <c r="I3" t="s">
        <v>17</v>
      </c>
      <c r="K3" s="3" t="s">
        <v>131</v>
      </c>
      <c r="L3" s="2">
        <f>SUM(F:F)*(COUNTA(I:I)-1)</f>
        <v>32.628976909320116</v>
      </c>
    </row>
    <row r="4" spans="1:12" x14ac:dyDescent="0.3">
      <c r="A4">
        <v>3</v>
      </c>
      <c r="B4" t="s">
        <v>19</v>
      </c>
      <c r="C4" t="s">
        <v>5</v>
      </c>
      <c r="D4">
        <v>59</v>
      </c>
      <c r="E4">
        <f t="shared" si="0"/>
        <v>1</v>
      </c>
      <c r="F4" s="2" t="str">
        <f t="shared" si="1"/>
        <v/>
      </c>
      <c r="G4" s="2">
        <f>IF(E4=1,SUM(F3:$F$3),"")</f>
        <v>0</v>
      </c>
      <c r="I4" t="s">
        <v>28</v>
      </c>
      <c r="K4" t="s">
        <v>136</v>
      </c>
      <c r="L4" s="2">
        <f>SUMIF(C:C,"UEFA",G:G)/COUNTIFS(C:C,"UEFA",E:E,1)*100</f>
        <v>18.070929070929068</v>
      </c>
    </row>
    <row r="5" spans="1:12" x14ac:dyDescent="0.3">
      <c r="A5">
        <v>4</v>
      </c>
      <c r="B5" t="s">
        <v>20</v>
      </c>
      <c r="C5" t="s">
        <v>4</v>
      </c>
      <c r="D5">
        <v>57</v>
      </c>
      <c r="E5">
        <f t="shared" si="0"/>
        <v>1</v>
      </c>
      <c r="F5" s="2" t="str">
        <f t="shared" si="1"/>
        <v/>
      </c>
      <c r="G5" s="2">
        <f>IF(E5=1,SUM(F$3:$F4),"")</f>
        <v>0</v>
      </c>
      <c r="I5" t="s">
        <v>39</v>
      </c>
      <c r="K5" t="s">
        <v>135</v>
      </c>
      <c r="L5" s="2">
        <f>SUMIF(C:C,"CONMEBOL",G:G)/COUNTIFS(C:C,"CONMEBOL",E:E,1)*100</f>
        <v>26.572113732615975</v>
      </c>
    </row>
    <row r="6" spans="1:12" x14ac:dyDescent="0.3">
      <c r="A6">
        <v>5</v>
      </c>
      <c r="B6" t="s">
        <v>21</v>
      </c>
      <c r="C6" t="s">
        <v>4</v>
      </c>
      <c r="D6">
        <v>56</v>
      </c>
      <c r="E6">
        <f t="shared" si="0"/>
        <v>1</v>
      </c>
      <c r="F6" s="2" t="str">
        <f t="shared" si="1"/>
        <v/>
      </c>
      <c r="G6" s="2">
        <f>IF(E6=1,SUM(F$3:$F5),"")</f>
        <v>0</v>
      </c>
      <c r="I6" t="s">
        <v>10</v>
      </c>
      <c r="K6" t="s">
        <v>134</v>
      </c>
      <c r="L6" s="2">
        <f>SUMIF(C:C,"CONCACAF",G:G)/COUNTIFS(C:C,"CONCACAF",E:E,1)*100</f>
        <v>35.401542901542904</v>
      </c>
    </row>
    <row r="7" spans="1:12" x14ac:dyDescent="0.3">
      <c r="A7">
        <v>6</v>
      </c>
      <c r="B7" t="s">
        <v>22</v>
      </c>
      <c r="C7" t="s">
        <v>4</v>
      </c>
      <c r="D7">
        <v>56</v>
      </c>
      <c r="E7">
        <f t="shared" si="0"/>
        <v>1</v>
      </c>
      <c r="F7" s="2" t="str">
        <f t="shared" si="1"/>
        <v/>
      </c>
      <c r="G7" s="2">
        <f>IF(E7=1,SUM(F$3:$F6),"")</f>
        <v>0</v>
      </c>
      <c r="I7" t="s">
        <v>11</v>
      </c>
      <c r="K7" t="s">
        <v>133</v>
      </c>
      <c r="L7" s="2">
        <f>SUMIF(C:C,"CAF",G:G)/COUNTIFS(C:C,"CAF",E:E,1)*100</f>
        <v>36.541088541088548</v>
      </c>
    </row>
    <row r="8" spans="1:12" x14ac:dyDescent="0.3">
      <c r="A8">
        <v>7</v>
      </c>
      <c r="B8" t="s">
        <v>14</v>
      </c>
      <c r="C8" t="s">
        <v>4</v>
      </c>
      <c r="D8">
        <v>55</v>
      </c>
      <c r="E8">
        <f t="shared" si="0"/>
        <v>1</v>
      </c>
      <c r="F8" s="2" t="str">
        <f t="shared" si="1"/>
        <v/>
      </c>
      <c r="G8" s="2">
        <f>IF(E8=1,SUM(F$3:$F7),"")</f>
        <v>0</v>
      </c>
      <c r="I8" t="s">
        <v>12</v>
      </c>
      <c r="K8" t="s">
        <v>132</v>
      </c>
      <c r="L8" s="2">
        <f>SUMIF(C:C,"AFC",G:G)/COUNTIFS(C:C,"AFC",E:E,1)*100</f>
        <v>65.485250860250858</v>
      </c>
    </row>
    <row r="9" spans="1:12" x14ac:dyDescent="0.3">
      <c r="A9">
        <v>8</v>
      </c>
      <c r="B9" t="s">
        <v>16</v>
      </c>
      <c r="C9" t="s">
        <v>5</v>
      </c>
      <c r="D9">
        <v>55</v>
      </c>
      <c r="E9">
        <f t="shared" si="0"/>
        <v>1</v>
      </c>
      <c r="F9" s="2" t="str">
        <f t="shared" si="1"/>
        <v/>
      </c>
      <c r="G9" s="2">
        <f>IF(E9=1,SUM(F$3:$F8),"")</f>
        <v>0</v>
      </c>
      <c r="I9" t="s">
        <v>19</v>
      </c>
      <c r="L9" s="2"/>
    </row>
    <row r="10" spans="1:12" x14ac:dyDescent="0.3">
      <c r="A10">
        <v>9</v>
      </c>
      <c r="B10" t="s">
        <v>23</v>
      </c>
      <c r="C10" t="s">
        <v>4</v>
      </c>
      <c r="D10">
        <v>55</v>
      </c>
      <c r="E10">
        <f t="shared" si="0"/>
        <v>0</v>
      </c>
      <c r="F10" s="2">
        <f t="shared" si="1"/>
        <v>0.1111111111111111</v>
      </c>
      <c r="G10" s="2" t="str">
        <f>IF(E10=1,SUM(F$3:$F9),"")</f>
        <v/>
      </c>
      <c r="I10" t="s">
        <v>13</v>
      </c>
      <c r="L10" s="2"/>
    </row>
    <row r="11" spans="1:12" x14ac:dyDescent="0.3">
      <c r="A11">
        <v>10</v>
      </c>
      <c r="B11" t="s">
        <v>24</v>
      </c>
      <c r="C11" t="s">
        <v>4</v>
      </c>
      <c r="D11">
        <v>55</v>
      </c>
      <c r="E11">
        <f t="shared" si="0"/>
        <v>1</v>
      </c>
      <c r="F11" s="2" t="str">
        <f t="shared" si="1"/>
        <v/>
      </c>
      <c r="G11" s="2">
        <f>IF(E11=1,SUM(F$3:$F10),"")</f>
        <v>0.1111111111111111</v>
      </c>
      <c r="I11" t="s">
        <v>33</v>
      </c>
      <c r="L11" s="2"/>
    </row>
    <row r="12" spans="1:12" x14ac:dyDescent="0.3">
      <c r="A12">
        <v>11</v>
      </c>
      <c r="B12" t="s">
        <v>13</v>
      </c>
      <c r="C12" t="s">
        <v>6</v>
      </c>
      <c r="D12">
        <v>54</v>
      </c>
      <c r="E12">
        <f t="shared" si="0"/>
        <v>1</v>
      </c>
      <c r="F12" s="2" t="str">
        <f t="shared" si="1"/>
        <v/>
      </c>
      <c r="G12" s="2">
        <f>IF(E12=1,SUM(F$3:$F11),"")</f>
        <v>0.1111111111111111</v>
      </c>
      <c r="I12" t="s">
        <v>37</v>
      </c>
      <c r="L12" s="2"/>
    </row>
    <row r="13" spans="1:12" x14ac:dyDescent="0.3">
      <c r="A13">
        <v>12</v>
      </c>
      <c r="B13" t="s">
        <v>25</v>
      </c>
      <c r="C13" t="s">
        <v>4</v>
      </c>
      <c r="D13">
        <v>54</v>
      </c>
      <c r="E13">
        <f t="shared" si="0"/>
        <v>1</v>
      </c>
      <c r="F13" s="2" t="str">
        <f t="shared" si="1"/>
        <v/>
      </c>
      <c r="G13" s="2">
        <f>IF(E13=1,SUM(F$3:$F12),"")</f>
        <v>0.1111111111111111</v>
      </c>
      <c r="I13" t="s">
        <v>22</v>
      </c>
    </row>
    <row r="14" spans="1:12" x14ac:dyDescent="0.3">
      <c r="A14">
        <v>13</v>
      </c>
      <c r="B14" t="s">
        <v>26</v>
      </c>
      <c r="C14" t="s">
        <v>4</v>
      </c>
      <c r="D14">
        <v>53</v>
      </c>
      <c r="E14">
        <f t="shared" si="0"/>
        <v>0</v>
      </c>
      <c r="F14" s="2">
        <f t="shared" si="1"/>
        <v>7.6923076923076927E-2</v>
      </c>
      <c r="G14" s="2" t="str">
        <f>IF(E14=1,SUM(F$3:$F13),"")</f>
        <v/>
      </c>
      <c r="I14" t="s">
        <v>45</v>
      </c>
    </row>
    <row r="15" spans="1:12" x14ac:dyDescent="0.3">
      <c r="A15">
        <v>14</v>
      </c>
      <c r="B15" t="s">
        <v>83</v>
      </c>
      <c r="C15" t="s">
        <v>4</v>
      </c>
      <c r="D15">
        <v>53</v>
      </c>
      <c r="E15">
        <f t="shared" si="0"/>
        <v>1</v>
      </c>
      <c r="F15" s="2" t="str">
        <f t="shared" si="1"/>
        <v/>
      </c>
      <c r="G15" s="2">
        <f>IF(E15=1,SUM(F$3:$F14),"")</f>
        <v>0.18803418803418803</v>
      </c>
      <c r="I15" t="s">
        <v>42</v>
      </c>
    </row>
    <row r="16" spans="1:12" x14ac:dyDescent="0.3">
      <c r="A16">
        <v>15</v>
      </c>
      <c r="B16" t="s">
        <v>27</v>
      </c>
      <c r="C16" t="s">
        <v>4</v>
      </c>
      <c r="D16">
        <v>52</v>
      </c>
      <c r="E16">
        <f t="shared" si="0"/>
        <v>0</v>
      </c>
      <c r="F16" s="2">
        <f t="shared" si="1"/>
        <v>6.6666666666666666E-2</v>
      </c>
      <c r="G16" s="2" t="str">
        <f>IF(E16=1,SUM(F$3:$F15),"")</f>
        <v/>
      </c>
      <c r="I16" t="s">
        <v>24</v>
      </c>
    </row>
    <row r="17" spans="1:9" x14ac:dyDescent="0.3">
      <c r="A17">
        <v>16</v>
      </c>
      <c r="B17" t="s">
        <v>28</v>
      </c>
      <c r="C17" t="s">
        <v>7</v>
      </c>
      <c r="D17">
        <v>51</v>
      </c>
      <c r="E17">
        <f t="shared" si="0"/>
        <v>1</v>
      </c>
      <c r="F17" s="2" t="str">
        <f t="shared" si="1"/>
        <v/>
      </c>
      <c r="G17" s="2">
        <f>IF(E17=1,SUM(F$3:$F16),"")</f>
        <v>0.25470085470085468</v>
      </c>
      <c r="I17" t="s">
        <v>36</v>
      </c>
    </row>
    <row r="18" spans="1:9" x14ac:dyDescent="0.3">
      <c r="A18">
        <v>17</v>
      </c>
      <c r="B18" t="s">
        <v>11</v>
      </c>
      <c r="C18" t="s">
        <v>5</v>
      </c>
      <c r="D18">
        <v>51</v>
      </c>
      <c r="E18">
        <f t="shared" si="0"/>
        <v>1</v>
      </c>
      <c r="F18" s="2" t="str">
        <f t="shared" si="1"/>
        <v/>
      </c>
      <c r="G18" s="2">
        <f>IF(E18=1,SUM(F$3:$F17),"")</f>
        <v>0.25470085470085468</v>
      </c>
      <c r="I18" t="s">
        <v>15</v>
      </c>
    </row>
    <row r="19" spans="1:9" x14ac:dyDescent="0.3">
      <c r="A19">
        <v>18</v>
      </c>
      <c r="B19" t="s">
        <v>29</v>
      </c>
      <c r="C19" t="s">
        <v>5</v>
      </c>
      <c r="D19">
        <v>50</v>
      </c>
      <c r="E19">
        <f t="shared" si="0"/>
        <v>0</v>
      </c>
      <c r="F19" s="2">
        <f t="shared" si="1"/>
        <v>5.5555555555555552E-2</v>
      </c>
      <c r="G19" s="2" t="str">
        <f>IF(E19=1,SUM(F$3:$F18),"")</f>
        <v/>
      </c>
      <c r="I19" t="s">
        <v>20</v>
      </c>
    </row>
    <row r="20" spans="1:9" x14ac:dyDescent="0.3">
      <c r="A20">
        <v>19</v>
      </c>
      <c r="B20" t="s">
        <v>10</v>
      </c>
      <c r="C20" t="s">
        <v>4</v>
      </c>
      <c r="D20">
        <v>50</v>
      </c>
      <c r="E20">
        <f t="shared" si="0"/>
        <v>1</v>
      </c>
      <c r="F20" s="2" t="str">
        <f t="shared" si="1"/>
        <v/>
      </c>
      <c r="G20" s="2">
        <f>IF(E20=1,SUM(F$3:$F19),"")</f>
        <v>0.31025641025641026</v>
      </c>
      <c r="I20" t="s">
        <v>18</v>
      </c>
    </row>
    <row r="21" spans="1:9" x14ac:dyDescent="0.3">
      <c r="A21">
        <v>20</v>
      </c>
      <c r="B21" t="s">
        <v>30</v>
      </c>
      <c r="C21" t="s">
        <v>6</v>
      </c>
      <c r="D21">
        <v>49</v>
      </c>
      <c r="E21">
        <f t="shared" si="0"/>
        <v>0</v>
      </c>
      <c r="F21" s="2">
        <f t="shared" si="1"/>
        <v>0.05</v>
      </c>
      <c r="G21" s="2" t="str">
        <f>IF(E21=1,SUM(F$3:$F20),"")</f>
        <v/>
      </c>
      <c r="I21" t="s">
        <v>83</v>
      </c>
    </row>
    <row r="22" spans="1:9" x14ac:dyDescent="0.3">
      <c r="A22">
        <v>21</v>
      </c>
      <c r="B22" t="s">
        <v>8</v>
      </c>
      <c r="C22" t="s">
        <v>6</v>
      </c>
      <c r="D22">
        <v>47</v>
      </c>
      <c r="E22">
        <f t="shared" si="0"/>
        <v>0</v>
      </c>
      <c r="F22" s="2">
        <f t="shared" si="1"/>
        <v>4.7619047619047616E-2</v>
      </c>
      <c r="G22" s="2" t="str">
        <f>IF(E22=1,SUM(F$3:$F21),"")</f>
        <v/>
      </c>
      <c r="I22" t="s">
        <v>14</v>
      </c>
    </row>
    <row r="23" spans="1:9" x14ac:dyDescent="0.3">
      <c r="A23">
        <v>22</v>
      </c>
      <c r="B23" t="s">
        <v>32</v>
      </c>
      <c r="C23" t="s">
        <v>4</v>
      </c>
      <c r="D23">
        <v>47</v>
      </c>
      <c r="E23">
        <f t="shared" si="0"/>
        <v>0</v>
      </c>
      <c r="F23" s="2">
        <f t="shared" si="1"/>
        <v>4.5454545454545456E-2</v>
      </c>
      <c r="G23" s="2" t="str">
        <f>IF(E23=1,SUM(F$3:$F22),"")</f>
        <v/>
      </c>
      <c r="I23" t="s">
        <v>21</v>
      </c>
    </row>
    <row r="24" spans="1:9" x14ac:dyDescent="0.3">
      <c r="A24">
        <v>23</v>
      </c>
      <c r="B24" t="s">
        <v>79</v>
      </c>
      <c r="C24" t="s">
        <v>7</v>
      </c>
      <c r="D24">
        <v>47</v>
      </c>
      <c r="E24">
        <f t="shared" si="0"/>
        <v>1</v>
      </c>
      <c r="F24" s="2" t="str">
        <f t="shared" si="1"/>
        <v/>
      </c>
      <c r="G24" s="2">
        <f>IF(E24=1,SUM(F$3:$F23),"")</f>
        <v>0.45333000333000334</v>
      </c>
      <c r="I24" t="s">
        <v>25</v>
      </c>
    </row>
    <row r="25" spans="1:9" x14ac:dyDescent="0.3">
      <c r="A25">
        <v>24</v>
      </c>
      <c r="B25" t="s">
        <v>33</v>
      </c>
      <c r="C25" t="s">
        <v>6</v>
      </c>
      <c r="D25">
        <v>46</v>
      </c>
      <c r="E25">
        <f t="shared" si="0"/>
        <v>1</v>
      </c>
      <c r="F25" s="2" t="str">
        <f t="shared" si="1"/>
        <v/>
      </c>
      <c r="G25" s="2">
        <f>IF(E25=1,SUM(F$3:$F24),"")</f>
        <v>0.45333000333000334</v>
      </c>
      <c r="I25" t="s">
        <v>16</v>
      </c>
    </row>
    <row r="26" spans="1:9" x14ac:dyDescent="0.3">
      <c r="A26">
        <v>25</v>
      </c>
      <c r="B26" t="s">
        <v>34</v>
      </c>
      <c r="C26" t="s">
        <v>6</v>
      </c>
      <c r="D26">
        <v>45</v>
      </c>
      <c r="E26">
        <f t="shared" si="0"/>
        <v>0</v>
      </c>
      <c r="F26" s="2">
        <f t="shared" si="1"/>
        <v>0.04</v>
      </c>
      <c r="G26" s="2" t="str">
        <f>IF(E26=1,SUM(F$3:$F25),"")</f>
        <v/>
      </c>
    </row>
    <row r="27" spans="1:9" x14ac:dyDescent="0.3">
      <c r="A27">
        <v>26</v>
      </c>
      <c r="B27" t="s">
        <v>35</v>
      </c>
      <c r="C27" t="s">
        <v>6</v>
      </c>
      <c r="D27">
        <v>44</v>
      </c>
      <c r="E27">
        <f t="shared" si="0"/>
        <v>0</v>
      </c>
      <c r="F27" s="2">
        <f t="shared" si="1"/>
        <v>3.8461538461538464E-2</v>
      </c>
      <c r="G27" s="2" t="str">
        <f>IF(E27=1,SUM(F$3:$F26),"")</f>
        <v/>
      </c>
    </row>
    <row r="28" spans="1:9" x14ac:dyDescent="0.3">
      <c r="A28">
        <v>27</v>
      </c>
      <c r="B28" t="s">
        <v>36</v>
      </c>
      <c r="C28" t="s">
        <v>4</v>
      </c>
      <c r="D28">
        <v>44</v>
      </c>
      <c r="E28">
        <f t="shared" si="0"/>
        <v>1</v>
      </c>
      <c r="F28" s="2" t="str">
        <f t="shared" si="1"/>
        <v/>
      </c>
      <c r="G28" s="2">
        <f>IF(E28=1,SUM(F$3:$F27),"")</f>
        <v>0.53179154179154176</v>
      </c>
    </row>
    <row r="29" spans="1:9" x14ac:dyDescent="0.3">
      <c r="A29">
        <v>28</v>
      </c>
      <c r="B29" t="s">
        <v>37</v>
      </c>
      <c r="C29" t="s">
        <v>6</v>
      </c>
      <c r="D29">
        <v>44</v>
      </c>
      <c r="E29">
        <f t="shared" si="0"/>
        <v>1</v>
      </c>
      <c r="F29" s="2" t="str">
        <f t="shared" si="1"/>
        <v/>
      </c>
      <c r="G29" s="2">
        <f>IF(E29=1,SUM(F$3:$F28),"")</f>
        <v>0.53179154179154176</v>
      </c>
    </row>
    <row r="30" spans="1:9" x14ac:dyDescent="0.3">
      <c r="A30">
        <v>29</v>
      </c>
      <c r="B30" t="s">
        <v>15</v>
      </c>
      <c r="C30" t="s">
        <v>4</v>
      </c>
      <c r="D30">
        <v>44</v>
      </c>
      <c r="E30">
        <f t="shared" si="0"/>
        <v>1</v>
      </c>
      <c r="F30" s="2" t="str">
        <f t="shared" si="1"/>
        <v/>
      </c>
      <c r="G30" s="2">
        <f>IF(E30=1,SUM(F$3:$F29),"")</f>
        <v>0.53179154179154176</v>
      </c>
    </row>
    <row r="31" spans="1:9" x14ac:dyDescent="0.3">
      <c r="A31">
        <v>30</v>
      </c>
      <c r="B31" t="s">
        <v>38</v>
      </c>
      <c r="C31" t="s">
        <v>6</v>
      </c>
      <c r="D31">
        <v>42</v>
      </c>
      <c r="E31">
        <f t="shared" si="0"/>
        <v>0</v>
      </c>
      <c r="F31" s="2">
        <f t="shared" si="1"/>
        <v>3.3333333333333333E-2</v>
      </c>
      <c r="G31" s="2" t="str">
        <f>IF(E31=1,SUM(F$3:$F30),"")</f>
        <v/>
      </c>
    </row>
    <row r="32" spans="1:9" x14ac:dyDescent="0.3">
      <c r="A32">
        <v>31</v>
      </c>
      <c r="B32" t="s">
        <v>39</v>
      </c>
      <c r="C32" t="s">
        <v>4</v>
      </c>
      <c r="D32">
        <v>41</v>
      </c>
      <c r="E32">
        <f t="shared" si="0"/>
        <v>1</v>
      </c>
      <c r="F32" s="2" t="str">
        <f t="shared" si="1"/>
        <v/>
      </c>
      <c r="G32" s="2">
        <f>IF(E32=1,SUM(F$3:$F31),"")</f>
        <v>0.56512487512487508</v>
      </c>
    </row>
    <row r="33" spans="1:7" x14ac:dyDescent="0.3">
      <c r="A33">
        <v>32</v>
      </c>
      <c r="B33" t="s">
        <v>40</v>
      </c>
      <c r="C33" t="s">
        <v>4</v>
      </c>
      <c r="D33">
        <v>41</v>
      </c>
      <c r="E33">
        <f t="shared" si="0"/>
        <v>0</v>
      </c>
      <c r="F33" s="2">
        <f t="shared" si="1"/>
        <v>3.125E-2</v>
      </c>
      <c r="G33" s="2" t="str">
        <f>IF(E33=1,SUM(F$3:$F32),"")</f>
        <v/>
      </c>
    </row>
    <row r="34" spans="1:7" x14ac:dyDescent="0.3">
      <c r="A34">
        <v>33</v>
      </c>
      <c r="B34" t="s">
        <v>41</v>
      </c>
      <c r="C34" t="s">
        <v>4</v>
      </c>
      <c r="D34">
        <v>40</v>
      </c>
      <c r="E34">
        <f t="shared" si="0"/>
        <v>0</v>
      </c>
      <c r="F34" s="2">
        <f t="shared" si="1"/>
        <v>3.0303030303030304E-2</v>
      </c>
      <c r="G34" s="2" t="str">
        <f>IF(E34=1,SUM(F$3:$F33),"")</f>
        <v/>
      </c>
    </row>
    <row r="35" spans="1:7" x14ac:dyDescent="0.3">
      <c r="A35">
        <v>34</v>
      </c>
      <c r="B35" t="s">
        <v>42</v>
      </c>
      <c r="C35" t="s">
        <v>9</v>
      </c>
      <c r="D35">
        <v>40</v>
      </c>
      <c r="E35">
        <f t="shared" si="0"/>
        <v>1</v>
      </c>
      <c r="F35" s="2" t="str">
        <f t="shared" si="1"/>
        <v/>
      </c>
      <c r="G35" s="2">
        <f>IF(E35=1,SUM(F$3:$F34),"")</f>
        <v>0.62667790542790536</v>
      </c>
    </row>
    <row r="36" spans="1:7" x14ac:dyDescent="0.3">
      <c r="A36">
        <v>35</v>
      </c>
      <c r="B36" t="s">
        <v>43</v>
      </c>
      <c r="C36" t="s">
        <v>4</v>
      </c>
      <c r="D36">
        <v>39</v>
      </c>
      <c r="E36">
        <f t="shared" si="0"/>
        <v>0</v>
      </c>
      <c r="F36" s="2">
        <f t="shared" si="1"/>
        <v>2.8571428571428571E-2</v>
      </c>
      <c r="G36" s="2" t="str">
        <f>IF(E36=1,SUM(F$3:$F35),"")</f>
        <v/>
      </c>
    </row>
    <row r="37" spans="1:7" x14ac:dyDescent="0.3">
      <c r="A37">
        <v>36</v>
      </c>
      <c r="B37" t="s">
        <v>44</v>
      </c>
      <c r="C37" t="s">
        <v>4</v>
      </c>
      <c r="D37">
        <v>38</v>
      </c>
      <c r="E37">
        <f t="shared" si="0"/>
        <v>0</v>
      </c>
      <c r="F37" s="2">
        <f t="shared" si="1"/>
        <v>2.7777777777777776E-2</v>
      </c>
      <c r="G37" s="2" t="str">
        <f>IF(E37=1,SUM(F$3:$F36),"")</f>
        <v/>
      </c>
    </row>
    <row r="38" spans="1:7" x14ac:dyDescent="0.3">
      <c r="A38">
        <v>37</v>
      </c>
      <c r="B38" t="s">
        <v>45</v>
      </c>
      <c r="C38" t="s">
        <v>9</v>
      </c>
      <c r="D38">
        <v>38</v>
      </c>
      <c r="E38">
        <f t="shared" si="0"/>
        <v>1</v>
      </c>
      <c r="F38" s="2" t="str">
        <f t="shared" si="1"/>
        <v/>
      </c>
      <c r="G38" s="2">
        <f>IF(E38=1,SUM(F$3:$F37),"")</f>
        <v>0.68302711177711173</v>
      </c>
    </row>
    <row r="39" spans="1:7" x14ac:dyDescent="0.3">
      <c r="A39">
        <v>38</v>
      </c>
      <c r="B39" t="s">
        <v>46</v>
      </c>
      <c r="C39" t="s">
        <v>4</v>
      </c>
      <c r="D39">
        <v>38</v>
      </c>
      <c r="E39">
        <f t="shared" si="0"/>
        <v>0</v>
      </c>
      <c r="F39" s="2">
        <f t="shared" si="1"/>
        <v>2.6315789473684209E-2</v>
      </c>
      <c r="G39" s="2" t="str">
        <f>IF(E39=1,SUM(F$3:$F38),"")</f>
        <v/>
      </c>
    </row>
    <row r="40" spans="1:7" x14ac:dyDescent="0.3">
      <c r="A40">
        <v>39</v>
      </c>
      <c r="B40" t="s">
        <v>47</v>
      </c>
      <c r="C40" t="s">
        <v>5</v>
      </c>
      <c r="D40">
        <v>37</v>
      </c>
      <c r="E40">
        <f t="shared" si="0"/>
        <v>0</v>
      </c>
      <c r="F40" s="2">
        <f t="shared" si="1"/>
        <v>2.564102564102564E-2</v>
      </c>
      <c r="G40" s="2" t="str">
        <f>IF(E40=1,SUM(F$3:$F39),"")</f>
        <v/>
      </c>
    </row>
    <row r="41" spans="1:7" x14ac:dyDescent="0.3">
      <c r="A41">
        <v>40</v>
      </c>
      <c r="B41" t="s">
        <v>48</v>
      </c>
      <c r="C41" t="s">
        <v>5</v>
      </c>
      <c r="D41">
        <v>37</v>
      </c>
      <c r="E41">
        <f t="shared" si="0"/>
        <v>0</v>
      </c>
      <c r="F41" s="2">
        <f t="shared" si="1"/>
        <v>2.5000000000000001E-2</v>
      </c>
      <c r="G41" s="2" t="str">
        <f>IF(E41=1,SUM(F$3:$F40),"")</f>
        <v/>
      </c>
    </row>
    <row r="42" spans="1:7" x14ac:dyDescent="0.3">
      <c r="A42">
        <v>41</v>
      </c>
      <c r="B42" t="s">
        <v>125</v>
      </c>
      <c r="C42" t="s">
        <v>4</v>
      </c>
      <c r="D42">
        <v>37</v>
      </c>
      <c r="E42">
        <f t="shared" si="0"/>
        <v>0</v>
      </c>
      <c r="F42" s="2">
        <f t="shared" si="1"/>
        <v>2.4390243902439025E-2</v>
      </c>
      <c r="G42" s="2" t="str">
        <f>IF(E42=1,SUM(F$3:$F41),"")</f>
        <v/>
      </c>
    </row>
    <row r="43" spans="1:7" x14ac:dyDescent="0.3">
      <c r="A43">
        <v>42</v>
      </c>
      <c r="B43" t="s">
        <v>49</v>
      </c>
      <c r="C43" t="s">
        <v>6</v>
      </c>
      <c r="D43">
        <v>35</v>
      </c>
      <c r="E43">
        <f t="shared" si="0"/>
        <v>0</v>
      </c>
      <c r="F43" s="2">
        <f t="shared" si="1"/>
        <v>2.3809523809523808E-2</v>
      </c>
      <c r="G43" s="2" t="str">
        <f>IF(E43=1,SUM(F$3:$F42),"")</f>
        <v/>
      </c>
    </row>
    <row r="44" spans="1:7" x14ac:dyDescent="0.3">
      <c r="A44">
        <v>43</v>
      </c>
      <c r="B44" t="s">
        <v>12</v>
      </c>
      <c r="C44" t="s">
        <v>5</v>
      </c>
      <c r="D44">
        <v>35</v>
      </c>
      <c r="E44">
        <f t="shared" si="0"/>
        <v>1</v>
      </c>
      <c r="F44" s="2" t="str">
        <f t="shared" si="1"/>
        <v/>
      </c>
      <c r="G44" s="2">
        <f>IF(E44=1,SUM(F$3:$F43),"")</f>
        <v>0.80818369460378447</v>
      </c>
    </row>
    <row r="45" spans="1:7" x14ac:dyDescent="0.3">
      <c r="A45">
        <v>44</v>
      </c>
      <c r="B45" t="s">
        <v>50</v>
      </c>
      <c r="C45" t="s">
        <v>4</v>
      </c>
      <c r="D45">
        <v>35</v>
      </c>
      <c r="E45">
        <f t="shared" si="0"/>
        <v>0</v>
      </c>
      <c r="F45" s="2">
        <f t="shared" si="1"/>
        <v>2.2727272727272728E-2</v>
      </c>
      <c r="G45" s="2" t="str">
        <f>IF(E45=1,SUM(F$3:$F44),"")</f>
        <v/>
      </c>
    </row>
    <row r="46" spans="1:7" x14ac:dyDescent="0.3">
      <c r="A46">
        <v>45</v>
      </c>
      <c r="B46" t="s">
        <v>81</v>
      </c>
      <c r="C46" t="s">
        <v>4</v>
      </c>
      <c r="D46">
        <v>35</v>
      </c>
      <c r="E46">
        <f t="shared" si="0"/>
        <v>0</v>
      </c>
      <c r="F46" s="2">
        <f t="shared" si="1"/>
        <v>2.2222222222222223E-2</v>
      </c>
      <c r="G46" s="2" t="str">
        <f>IF(E46=1,SUM(F$3:$F45),"")</f>
        <v/>
      </c>
    </row>
    <row r="47" spans="1:7" x14ac:dyDescent="0.3">
      <c r="A47">
        <v>46</v>
      </c>
      <c r="B47" t="s">
        <v>51</v>
      </c>
      <c r="C47" t="s">
        <v>4</v>
      </c>
      <c r="D47">
        <v>35</v>
      </c>
      <c r="E47">
        <f t="shared" si="0"/>
        <v>0</v>
      </c>
      <c r="F47" s="2">
        <f t="shared" si="1"/>
        <v>2.1739130434782608E-2</v>
      </c>
      <c r="G47" s="2" t="str">
        <f>IF(E47=1,SUM(F$3:$F46),"")</f>
        <v/>
      </c>
    </row>
    <row r="48" spans="1:7" x14ac:dyDescent="0.3">
      <c r="A48">
        <v>47</v>
      </c>
      <c r="B48" t="s">
        <v>52</v>
      </c>
      <c r="C48" t="s">
        <v>9</v>
      </c>
      <c r="D48">
        <v>34</v>
      </c>
      <c r="E48">
        <f t="shared" si="0"/>
        <v>0</v>
      </c>
      <c r="F48" s="2">
        <f t="shared" si="1"/>
        <v>2.1276595744680851E-2</v>
      </c>
      <c r="G48" s="2" t="str">
        <f>IF(E48=1,SUM(F$3:$F47),"")</f>
        <v/>
      </c>
    </row>
    <row r="49" spans="1:7" x14ac:dyDescent="0.3">
      <c r="A49">
        <v>48</v>
      </c>
      <c r="B49" t="s">
        <v>53</v>
      </c>
      <c r="C49" t="s">
        <v>6</v>
      </c>
      <c r="D49">
        <v>34</v>
      </c>
      <c r="E49">
        <f t="shared" si="0"/>
        <v>0</v>
      </c>
      <c r="F49" s="2">
        <f t="shared" si="1"/>
        <v>2.0833333333333332E-2</v>
      </c>
      <c r="G49" s="2" t="str">
        <f>IF(E49=1,SUM(F$3:$F48),"")</f>
        <v/>
      </c>
    </row>
    <row r="50" spans="1:7" x14ac:dyDescent="0.3">
      <c r="A50">
        <v>49</v>
      </c>
      <c r="B50" t="s">
        <v>54</v>
      </c>
      <c r="C50" t="s">
        <v>6</v>
      </c>
      <c r="D50">
        <v>34</v>
      </c>
      <c r="E50">
        <f t="shared" si="0"/>
        <v>0</v>
      </c>
      <c r="F50" s="2">
        <f t="shared" si="1"/>
        <v>2.0408163265306121E-2</v>
      </c>
      <c r="G50" s="2" t="str">
        <f>IF(E50=1,SUM(F$3:$F49),"")</f>
        <v/>
      </c>
    </row>
    <row r="51" spans="1:7" x14ac:dyDescent="0.3">
      <c r="A51">
        <v>50</v>
      </c>
      <c r="B51" t="s">
        <v>55</v>
      </c>
      <c r="C51" t="s">
        <v>7</v>
      </c>
      <c r="D51">
        <v>34</v>
      </c>
      <c r="E51">
        <f t="shared" si="0"/>
        <v>0</v>
      </c>
      <c r="F51" s="2">
        <f t="shared" si="1"/>
        <v>0.02</v>
      </c>
      <c r="G51" s="2" t="str">
        <f>IF(E51=1,SUM(F$3:$F50),"")</f>
        <v/>
      </c>
    </row>
    <row r="52" spans="1:7" x14ac:dyDescent="0.3">
      <c r="A52">
        <v>51</v>
      </c>
      <c r="B52" t="s">
        <v>56</v>
      </c>
      <c r="C52" t="s">
        <v>7</v>
      </c>
      <c r="D52">
        <v>34</v>
      </c>
      <c r="E52">
        <f t="shared" si="0"/>
        <v>0</v>
      </c>
      <c r="F52" s="2">
        <f t="shared" si="1"/>
        <v>1.9607843137254902E-2</v>
      </c>
      <c r="G52" s="2" t="str">
        <f>IF(E52=1,SUM(F$3:$F51),"")</f>
        <v/>
      </c>
    </row>
    <row r="53" spans="1:7" x14ac:dyDescent="0.3">
      <c r="A53">
        <v>52</v>
      </c>
      <c r="B53" t="s">
        <v>57</v>
      </c>
      <c r="C53" t="s">
        <v>9</v>
      </c>
      <c r="D53">
        <v>33</v>
      </c>
      <c r="E53">
        <f t="shared" si="0"/>
        <v>0</v>
      </c>
      <c r="F53" s="2">
        <f t="shared" si="1"/>
        <v>1.9230769230769232E-2</v>
      </c>
      <c r="G53" s="2" t="str">
        <f>IF(E53=1,SUM(F$3:$F52),"")</f>
        <v/>
      </c>
    </row>
    <row r="54" spans="1:7" x14ac:dyDescent="0.3">
      <c r="A54">
        <v>53</v>
      </c>
      <c r="B54" t="s">
        <v>58</v>
      </c>
      <c r="C54" t="s">
        <v>4</v>
      </c>
      <c r="D54">
        <v>32</v>
      </c>
      <c r="E54">
        <f t="shared" si="0"/>
        <v>0</v>
      </c>
      <c r="F54" s="2">
        <f t="shared" si="1"/>
        <v>1.8867924528301886E-2</v>
      </c>
      <c r="G54" s="2" t="str">
        <f>IF(E54=1,SUM(F$3:$F53),"")</f>
        <v/>
      </c>
    </row>
    <row r="55" spans="1:7" x14ac:dyDescent="0.3">
      <c r="A55">
        <v>54</v>
      </c>
      <c r="B55" t="s">
        <v>59</v>
      </c>
      <c r="C55" t="s">
        <v>7</v>
      </c>
      <c r="D55">
        <v>31</v>
      </c>
      <c r="E55">
        <f t="shared" si="0"/>
        <v>0</v>
      </c>
      <c r="F55" s="2">
        <f t="shared" si="1"/>
        <v>1.8518518518518517E-2</v>
      </c>
      <c r="G55" s="2" t="str">
        <f>IF(E55=1,SUM(F$3:$F54),"")</f>
        <v/>
      </c>
    </row>
    <row r="56" spans="1:7" x14ac:dyDescent="0.3">
      <c r="A56">
        <v>55</v>
      </c>
      <c r="B56" t="s">
        <v>60</v>
      </c>
      <c r="C56" t="s">
        <v>6</v>
      </c>
      <c r="D56">
        <v>31</v>
      </c>
      <c r="E56">
        <f t="shared" si="0"/>
        <v>0</v>
      </c>
      <c r="F56" s="2">
        <f t="shared" si="1"/>
        <v>1.8181818181818181E-2</v>
      </c>
      <c r="G56" s="2" t="str">
        <f>IF(E56=1,SUM(F$3:$F55),"")</f>
        <v/>
      </c>
    </row>
    <row r="57" spans="1:7" x14ac:dyDescent="0.3">
      <c r="A57">
        <v>56</v>
      </c>
      <c r="B57" t="s">
        <v>61</v>
      </c>
      <c r="C57" t="s">
        <v>4</v>
      </c>
      <c r="D57">
        <v>31</v>
      </c>
      <c r="E57">
        <f t="shared" si="0"/>
        <v>0</v>
      </c>
      <c r="F57" s="2">
        <f t="shared" si="1"/>
        <v>1.7857142857142856E-2</v>
      </c>
      <c r="G57" s="2" t="str">
        <f>IF(E57=1,SUM(F$3:$F56),"")</f>
        <v/>
      </c>
    </row>
    <row r="58" spans="1:7" x14ac:dyDescent="0.3">
      <c r="A58">
        <v>57</v>
      </c>
      <c r="B58" t="s">
        <v>129</v>
      </c>
      <c r="C58" t="s">
        <v>4</v>
      </c>
      <c r="D58">
        <v>31</v>
      </c>
      <c r="E58">
        <f t="shared" si="0"/>
        <v>0</v>
      </c>
      <c r="F58" s="2">
        <f t="shared" si="1"/>
        <v>1.7543859649122806E-2</v>
      </c>
      <c r="G58" s="2" t="str">
        <f>IF(E58=1,SUM(F$3:$F57),"")</f>
        <v/>
      </c>
    </row>
    <row r="59" spans="1:7" x14ac:dyDescent="0.3">
      <c r="A59">
        <v>58</v>
      </c>
      <c r="B59" t="s">
        <v>62</v>
      </c>
      <c r="C59" t="s">
        <v>9</v>
      </c>
      <c r="D59">
        <v>30</v>
      </c>
      <c r="E59">
        <f t="shared" si="0"/>
        <v>0</v>
      </c>
      <c r="F59" s="2">
        <f t="shared" si="1"/>
        <v>1.7241379310344827E-2</v>
      </c>
      <c r="G59" s="2" t="str">
        <f>IF(E59=1,SUM(F$3:$F58),"")</f>
        <v/>
      </c>
    </row>
    <row r="60" spans="1:7" x14ac:dyDescent="0.3">
      <c r="A60">
        <v>59</v>
      </c>
      <c r="B60" t="s">
        <v>63</v>
      </c>
      <c r="C60" t="s">
        <v>9</v>
      </c>
      <c r="D60">
        <v>29</v>
      </c>
      <c r="E60">
        <f t="shared" si="0"/>
        <v>0</v>
      </c>
      <c r="F60" s="2">
        <f t="shared" si="1"/>
        <v>1.6949152542372881E-2</v>
      </c>
      <c r="G60" s="2" t="str">
        <f>IF(E60=1,SUM(F$3:$F59),"")</f>
        <v/>
      </c>
    </row>
    <row r="61" spans="1:7" x14ac:dyDescent="0.3">
      <c r="A61">
        <v>60</v>
      </c>
      <c r="B61" t="s">
        <v>64</v>
      </c>
      <c r="C61" t="s">
        <v>5</v>
      </c>
      <c r="D61">
        <v>28</v>
      </c>
      <c r="E61">
        <f t="shared" si="0"/>
        <v>0</v>
      </c>
      <c r="F61" s="2">
        <f t="shared" si="1"/>
        <v>1.6666666666666666E-2</v>
      </c>
      <c r="G61" s="2" t="str">
        <f>IF(E61=1,SUM(F$3:$F60),"")</f>
        <v/>
      </c>
    </row>
    <row r="62" spans="1:7" x14ac:dyDescent="0.3">
      <c r="A62">
        <v>61</v>
      </c>
      <c r="B62" t="s">
        <v>65</v>
      </c>
      <c r="C62" t="s">
        <v>6</v>
      </c>
      <c r="D62">
        <v>26</v>
      </c>
      <c r="E62">
        <f t="shared" si="0"/>
        <v>0</v>
      </c>
      <c r="F62" s="2">
        <f t="shared" si="1"/>
        <v>1.6393442622950821E-2</v>
      </c>
      <c r="G62" s="2" t="str">
        <f>IF(E62=1,SUM(F$3:$F61),"")</f>
        <v/>
      </c>
    </row>
    <row r="63" spans="1:7" x14ac:dyDescent="0.3">
      <c r="A63">
        <v>62</v>
      </c>
      <c r="B63" t="s">
        <v>82</v>
      </c>
      <c r="C63" t="s">
        <v>9</v>
      </c>
      <c r="D63">
        <v>26</v>
      </c>
      <c r="E63">
        <f t="shared" si="0"/>
        <v>0</v>
      </c>
      <c r="F63" s="2">
        <f t="shared" si="1"/>
        <v>1.6129032258064516E-2</v>
      </c>
      <c r="G63" s="2" t="str">
        <f>IF(E63=1,SUM(F$3:$F62),"")</f>
        <v/>
      </c>
    </row>
    <row r="64" spans="1:7" x14ac:dyDescent="0.3">
      <c r="A64">
        <v>63</v>
      </c>
      <c r="B64" t="s">
        <v>66</v>
      </c>
      <c r="C64" t="s">
        <v>6</v>
      </c>
      <c r="D64">
        <v>26</v>
      </c>
      <c r="E64">
        <f t="shared" si="0"/>
        <v>0</v>
      </c>
      <c r="F64" s="2">
        <f t="shared" si="1"/>
        <v>1.5873015873015872E-2</v>
      </c>
      <c r="G64" s="2" t="str">
        <f>IF(E64=1,SUM(F$3:$F63),"")</f>
        <v/>
      </c>
    </row>
    <row r="65" spans="1:7" x14ac:dyDescent="0.3">
      <c r="A65">
        <v>64</v>
      </c>
      <c r="B65" t="s">
        <v>67</v>
      </c>
      <c r="C65" t="s">
        <v>6</v>
      </c>
      <c r="D65">
        <v>26</v>
      </c>
      <c r="E65">
        <f t="shared" si="0"/>
        <v>0</v>
      </c>
      <c r="F65" s="2">
        <f t="shared" si="1"/>
        <v>1.5625E-2</v>
      </c>
      <c r="G65" s="2" t="str">
        <f>IF(E65=1,SUM(F$3:$F64),"")</f>
        <v/>
      </c>
    </row>
    <row r="66" spans="1:7" x14ac:dyDescent="0.3">
      <c r="A66">
        <v>65</v>
      </c>
      <c r="B66" t="s">
        <v>68</v>
      </c>
      <c r="C66" t="s">
        <v>9</v>
      </c>
      <c r="D66">
        <v>26</v>
      </c>
      <c r="E66">
        <f t="shared" si="0"/>
        <v>0</v>
      </c>
      <c r="F66" s="2">
        <f t="shared" si="1"/>
        <v>1.5384615384615385E-2</v>
      </c>
      <c r="G66" s="2" t="str">
        <f>IF(E66=1,SUM(F$3:$F65),"")</f>
        <v/>
      </c>
    </row>
    <row r="67" spans="1:7" x14ac:dyDescent="0.3">
      <c r="A67">
        <v>66</v>
      </c>
      <c r="B67" t="s">
        <v>69</v>
      </c>
      <c r="C67" t="s">
        <v>6</v>
      </c>
      <c r="D67">
        <v>24</v>
      </c>
      <c r="E67">
        <f t="shared" ref="E67:E76" si="2">IF(COUNTIF($I$2:$I$25,B67)&gt;0,1,0)</f>
        <v>0</v>
      </c>
      <c r="F67" s="2">
        <f t="shared" ref="F67:F76" si="3">IF(E67=1,"",1/A67)</f>
        <v>1.5151515151515152E-2</v>
      </c>
      <c r="G67" s="2" t="str">
        <f>IF(E67=1,SUM(F$3:$F66),"")</f>
        <v/>
      </c>
    </row>
    <row r="68" spans="1:7" x14ac:dyDescent="0.3">
      <c r="A68">
        <v>67</v>
      </c>
      <c r="B68" t="s">
        <v>70</v>
      </c>
      <c r="C68" t="s">
        <v>5</v>
      </c>
      <c r="D68">
        <v>24</v>
      </c>
      <c r="E68">
        <f t="shared" si="2"/>
        <v>0</v>
      </c>
      <c r="F68" s="2">
        <f t="shared" si="3"/>
        <v>1.4925373134328358E-2</v>
      </c>
      <c r="G68" s="2" t="str">
        <f>IF(E68=1,SUM(F$3:$F67),"")</f>
        <v/>
      </c>
    </row>
    <row r="69" spans="1:7" x14ac:dyDescent="0.3">
      <c r="A69">
        <v>68</v>
      </c>
      <c r="B69" t="s">
        <v>71</v>
      </c>
      <c r="C69" t="s">
        <v>7</v>
      </c>
      <c r="D69">
        <v>23</v>
      </c>
      <c r="E69">
        <f t="shared" si="2"/>
        <v>0</v>
      </c>
      <c r="F69" s="2">
        <f t="shared" si="3"/>
        <v>1.4705882352941176E-2</v>
      </c>
      <c r="G69" s="2" t="str">
        <f>IF(E69=1,SUM(F$3:$F68),"")</f>
        <v/>
      </c>
    </row>
    <row r="70" spans="1:7" x14ac:dyDescent="0.3">
      <c r="A70">
        <v>69</v>
      </c>
      <c r="B70" t="s">
        <v>72</v>
      </c>
      <c r="C70" t="s">
        <v>9</v>
      </c>
      <c r="D70">
        <v>23</v>
      </c>
      <c r="E70">
        <f t="shared" si="2"/>
        <v>0</v>
      </c>
      <c r="F70" s="2">
        <f t="shared" si="3"/>
        <v>1.4492753623188406E-2</v>
      </c>
      <c r="G70" s="2" t="str">
        <f>IF(E70=1,SUM(F$3:$F69),"")</f>
        <v/>
      </c>
    </row>
    <row r="71" spans="1:7" x14ac:dyDescent="0.3">
      <c r="A71">
        <v>70</v>
      </c>
      <c r="B71" t="s">
        <v>73</v>
      </c>
      <c r="C71" t="s">
        <v>7</v>
      </c>
      <c r="D71">
        <v>23</v>
      </c>
      <c r="E71">
        <f t="shared" si="2"/>
        <v>0</v>
      </c>
      <c r="F71" s="2">
        <f t="shared" si="3"/>
        <v>1.4285714285714285E-2</v>
      </c>
      <c r="G71" s="2" t="str">
        <f>IF(E71=1,SUM(F$3:$F70),"")</f>
        <v/>
      </c>
    </row>
    <row r="72" spans="1:7" x14ac:dyDescent="0.3">
      <c r="A72">
        <v>71</v>
      </c>
      <c r="B72" t="s">
        <v>74</v>
      </c>
      <c r="C72" t="s">
        <v>9</v>
      </c>
      <c r="D72">
        <v>23</v>
      </c>
      <c r="E72">
        <f t="shared" si="2"/>
        <v>0</v>
      </c>
      <c r="F72" s="2">
        <f t="shared" si="3"/>
        <v>1.4084507042253521E-2</v>
      </c>
      <c r="G72" s="2" t="str">
        <f>IF(E72=1,SUM(F$3:$F71),"")</f>
        <v/>
      </c>
    </row>
    <row r="73" spans="1:7" x14ac:dyDescent="0.3">
      <c r="A73">
        <v>72</v>
      </c>
      <c r="B73" t="s">
        <v>75</v>
      </c>
      <c r="C73" t="s">
        <v>4</v>
      </c>
      <c r="D73">
        <v>22</v>
      </c>
      <c r="E73">
        <f t="shared" si="2"/>
        <v>0</v>
      </c>
      <c r="F73" s="2">
        <f t="shared" si="3"/>
        <v>1.3888888888888888E-2</v>
      </c>
      <c r="G73" s="2" t="str">
        <f>IF(E73=1,SUM(F$3:$F72),"")</f>
        <v/>
      </c>
    </row>
    <row r="74" spans="1:7" x14ac:dyDescent="0.3">
      <c r="A74">
        <v>73</v>
      </c>
      <c r="B74" t="s">
        <v>76</v>
      </c>
      <c r="C74" t="s">
        <v>4</v>
      </c>
      <c r="D74">
        <v>22</v>
      </c>
      <c r="E74">
        <f t="shared" si="2"/>
        <v>0</v>
      </c>
      <c r="F74" s="2">
        <f t="shared" si="3"/>
        <v>1.3698630136986301E-2</v>
      </c>
      <c r="G74" s="2" t="str">
        <f>IF(E74=1,SUM(F$3:$F73),"")</f>
        <v/>
      </c>
    </row>
    <row r="75" spans="1:7" x14ac:dyDescent="0.3">
      <c r="A75">
        <v>74</v>
      </c>
      <c r="B75" t="s">
        <v>77</v>
      </c>
      <c r="C75" t="s">
        <v>9</v>
      </c>
      <c r="D75">
        <v>22</v>
      </c>
      <c r="E75">
        <f t="shared" si="2"/>
        <v>0</v>
      </c>
      <c r="F75" s="2">
        <f t="shared" si="3"/>
        <v>1.3513513513513514E-2</v>
      </c>
      <c r="G75" s="2" t="str">
        <f>IF(E75=1,SUM(F$3:$F74),"")</f>
        <v/>
      </c>
    </row>
    <row r="76" spans="1:7" x14ac:dyDescent="0.3">
      <c r="A76">
        <v>75</v>
      </c>
      <c r="B76" t="s">
        <v>78</v>
      </c>
      <c r="C76" t="s">
        <v>9</v>
      </c>
      <c r="D76">
        <v>22</v>
      </c>
      <c r="E76">
        <f t="shared" si="2"/>
        <v>0</v>
      </c>
      <c r="F76" s="2">
        <f t="shared" si="3"/>
        <v>1.3333333333333334E-2</v>
      </c>
      <c r="G76" s="2" t="str">
        <f>IF(E76=1,SUM(F$3:$F75),"")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3C0A-1DE3-41C9-9F48-208E31DCFA36}">
  <dimension ref="A1:L76"/>
  <sheetViews>
    <sheetView workbookViewId="0">
      <selection activeCell="K12" sqref="K12"/>
    </sheetView>
  </sheetViews>
  <sheetFormatPr defaultRowHeight="14.4" x14ac:dyDescent="0.3"/>
  <cols>
    <col min="1" max="1" width="3" bestFit="1" customWidth="1"/>
    <col min="2" max="2" width="18" bestFit="1" customWidth="1"/>
    <col min="3" max="3" width="12.77734375" bestFit="1" customWidth="1"/>
    <col min="4" max="4" width="6.21875" bestFit="1" customWidth="1"/>
    <col min="5" max="5" width="9.6640625" bestFit="1" customWidth="1"/>
    <col min="6" max="6" width="7.21875" bestFit="1" customWidth="1"/>
    <col min="7" max="7" width="15.77734375" bestFit="1" customWidth="1"/>
    <col min="9" max="9" width="11.88671875" bestFit="1" customWidth="1"/>
    <col min="11" max="11" width="32.5546875" bestFit="1" customWidth="1"/>
    <col min="12" max="12" width="5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85</v>
      </c>
      <c r="F1" s="1" t="s">
        <v>87</v>
      </c>
      <c r="G1" s="1" t="s">
        <v>141</v>
      </c>
      <c r="I1" s="1" t="s">
        <v>84</v>
      </c>
    </row>
    <row r="2" spans="1:12" x14ac:dyDescent="0.3">
      <c r="A2">
        <v>1</v>
      </c>
      <c r="B2" t="s">
        <v>19</v>
      </c>
      <c r="C2" t="s">
        <v>5</v>
      </c>
      <c r="D2">
        <v>72</v>
      </c>
      <c r="E2">
        <f>IF(COUNTIF($I$2:$I$33,B2)&gt;0,1,0)</f>
        <v>1</v>
      </c>
      <c r="F2" s="2" t="str">
        <f>IF(E2=1,"",1/A2)</f>
        <v/>
      </c>
      <c r="G2" s="2">
        <v>0</v>
      </c>
      <c r="I2" t="s">
        <v>26</v>
      </c>
    </row>
    <row r="3" spans="1:12" x14ac:dyDescent="0.3">
      <c r="A3">
        <v>2</v>
      </c>
      <c r="B3" t="s">
        <v>17</v>
      </c>
      <c r="C3" t="s">
        <v>4</v>
      </c>
      <c r="D3">
        <v>65</v>
      </c>
      <c r="E3">
        <f t="shared" ref="E3:E66" si="0">IF(COUNTIF($I$2:$I$33,B3)&gt;0,1,0)</f>
        <v>1</v>
      </c>
      <c r="F3" s="2" t="str">
        <f t="shared" ref="F3:F66" si="1">IF(E3=1,"",1/A3)</f>
        <v/>
      </c>
      <c r="G3" s="2">
        <f>IF(E3=1,SUM(F2:$F$3),"")</f>
        <v>0</v>
      </c>
      <c r="I3" t="s">
        <v>19</v>
      </c>
      <c r="K3" s="3" t="s">
        <v>131</v>
      </c>
      <c r="L3" s="2">
        <f>SUM(F:F)*(COUNTA(I:I)-1)</f>
        <v>42.212852837476447</v>
      </c>
    </row>
    <row r="4" spans="1:12" x14ac:dyDescent="0.3">
      <c r="A4">
        <v>3</v>
      </c>
      <c r="B4" t="s">
        <v>81</v>
      </c>
      <c r="C4" t="s">
        <v>4</v>
      </c>
      <c r="D4">
        <v>65</v>
      </c>
      <c r="E4">
        <f t="shared" si="0"/>
        <v>0</v>
      </c>
      <c r="F4" s="2">
        <f t="shared" si="1"/>
        <v>0.33333333333333331</v>
      </c>
      <c r="G4" s="2" t="str">
        <f>IF(E4=1,SUM(F3:$F$3),"")</f>
        <v/>
      </c>
      <c r="I4" t="s">
        <v>13</v>
      </c>
      <c r="K4" t="s">
        <v>136</v>
      </c>
      <c r="L4" s="2">
        <f>SUMIF(C:C,"UEFA",G:G)/COUNTIFS(C:C,"UEFA",E:E,1)*100</f>
        <v>45.814246911976113</v>
      </c>
    </row>
    <row r="5" spans="1:12" x14ac:dyDescent="0.3">
      <c r="A5">
        <v>4</v>
      </c>
      <c r="B5" t="s">
        <v>28</v>
      </c>
      <c r="C5" t="s">
        <v>7</v>
      </c>
      <c r="D5">
        <v>61</v>
      </c>
      <c r="E5">
        <f t="shared" si="0"/>
        <v>1</v>
      </c>
      <c r="F5" s="2" t="str">
        <f t="shared" si="1"/>
        <v/>
      </c>
      <c r="G5" s="2">
        <f>IF(E5=1,SUM(F$3:$F4),"")</f>
        <v>0.33333333333333331</v>
      </c>
      <c r="I5" t="s">
        <v>38</v>
      </c>
      <c r="K5" t="s">
        <v>135</v>
      </c>
      <c r="L5" s="2">
        <f>SUMIF(C:C,"CONMEBOL",G:G)/COUNTIFS(C:C,"CONMEBOL",E:E,1)*100</f>
        <v>31.699831649831651</v>
      </c>
    </row>
    <row r="6" spans="1:12" x14ac:dyDescent="0.3">
      <c r="A6">
        <v>5</v>
      </c>
      <c r="B6" t="s">
        <v>27</v>
      </c>
      <c r="C6" t="s">
        <v>4</v>
      </c>
      <c r="D6">
        <v>60</v>
      </c>
      <c r="E6">
        <f t="shared" si="0"/>
        <v>1</v>
      </c>
      <c r="F6" s="2" t="str">
        <f t="shared" si="1"/>
        <v/>
      </c>
      <c r="G6" s="2">
        <f>IF(E6=1,SUM(F$3:$F5),"")</f>
        <v>0.33333333333333331</v>
      </c>
      <c r="I6" t="s">
        <v>37</v>
      </c>
      <c r="K6" t="s">
        <v>134</v>
      </c>
      <c r="L6" s="2">
        <f>SUMIF(C:C,"CONCACAF",G:G)/COUNTIFS(C:C,"CONCACAF",E:E,1)*100</f>
        <v>41.7219416386083</v>
      </c>
    </row>
    <row r="7" spans="1:12" x14ac:dyDescent="0.3">
      <c r="A7">
        <v>6</v>
      </c>
      <c r="B7" t="s">
        <v>16</v>
      </c>
      <c r="C7" t="s">
        <v>5</v>
      </c>
      <c r="D7">
        <v>60</v>
      </c>
      <c r="E7">
        <f t="shared" si="0"/>
        <v>1</v>
      </c>
      <c r="F7" s="2" t="str">
        <f t="shared" si="1"/>
        <v/>
      </c>
      <c r="G7" s="2">
        <f>IF(E7=1,SUM(F$3:$F6),"")</f>
        <v>0.33333333333333331</v>
      </c>
      <c r="I7" t="s">
        <v>89</v>
      </c>
      <c r="K7" t="s">
        <v>133</v>
      </c>
      <c r="L7" s="2">
        <f>SUMIF(C:C,"CAF",G:G)/COUNTIFS(C:C,"CAF",E:E,1)*100</f>
        <v>69.727690178627341</v>
      </c>
    </row>
    <row r="8" spans="1:12" x14ac:dyDescent="0.3">
      <c r="A8">
        <v>7</v>
      </c>
      <c r="B8" t="s">
        <v>22</v>
      </c>
      <c r="C8" t="s">
        <v>4</v>
      </c>
      <c r="D8">
        <v>60</v>
      </c>
      <c r="E8">
        <f t="shared" si="0"/>
        <v>1</v>
      </c>
      <c r="F8" s="2" t="str">
        <f t="shared" si="1"/>
        <v/>
      </c>
      <c r="G8" s="2">
        <f>IF(E8=1,SUM(F$3:$F7),"")</f>
        <v>0.33333333333333331</v>
      </c>
      <c r="I8" t="s">
        <v>33</v>
      </c>
      <c r="K8" t="s">
        <v>132</v>
      </c>
      <c r="L8" s="2">
        <f>SUMIF(C:C,"AFC",G:G)/COUNTIFS(C:C,"AFC",E:E,1)*100</f>
        <v>54.989856181706777</v>
      </c>
    </row>
    <row r="9" spans="1:12" x14ac:dyDescent="0.3">
      <c r="A9">
        <v>8</v>
      </c>
      <c r="B9" t="s">
        <v>48</v>
      </c>
      <c r="C9" t="s">
        <v>5</v>
      </c>
      <c r="D9">
        <v>59</v>
      </c>
      <c r="E9">
        <f t="shared" si="0"/>
        <v>1</v>
      </c>
      <c r="F9" s="2" t="str">
        <f t="shared" si="1"/>
        <v/>
      </c>
      <c r="G9" s="2">
        <f>IF(E9=1,SUM(F$3:$F8),"")</f>
        <v>0.33333333333333331</v>
      </c>
      <c r="I9" t="s">
        <v>14</v>
      </c>
    </row>
    <row r="10" spans="1:12" x14ac:dyDescent="0.3">
      <c r="A10">
        <v>9</v>
      </c>
      <c r="B10" t="s">
        <v>11</v>
      </c>
      <c r="C10" t="s">
        <v>5</v>
      </c>
      <c r="D10">
        <v>58</v>
      </c>
      <c r="E10">
        <f t="shared" si="0"/>
        <v>1</v>
      </c>
      <c r="F10" s="2" t="str">
        <f t="shared" si="1"/>
        <v/>
      </c>
      <c r="G10" s="2">
        <f>IF(E10=1,SUM(F$3:$F9),"")</f>
        <v>0.33333333333333331</v>
      </c>
      <c r="I10" t="s">
        <v>22</v>
      </c>
    </row>
    <row r="11" spans="1:12" x14ac:dyDescent="0.3">
      <c r="A11">
        <v>10</v>
      </c>
      <c r="B11" t="s">
        <v>79</v>
      </c>
      <c r="C11" t="s">
        <v>7</v>
      </c>
      <c r="D11">
        <v>58</v>
      </c>
      <c r="E11">
        <f t="shared" si="0"/>
        <v>1</v>
      </c>
      <c r="F11" s="2" t="str">
        <f t="shared" si="1"/>
        <v/>
      </c>
      <c r="G11" s="2">
        <f>IF(E11=1,SUM(F$3:$F10),"")</f>
        <v>0.33333333333333331</v>
      </c>
      <c r="I11" t="s">
        <v>15</v>
      </c>
    </row>
    <row r="12" spans="1:12" x14ac:dyDescent="0.3">
      <c r="A12">
        <v>11</v>
      </c>
      <c r="B12" t="s">
        <v>57</v>
      </c>
      <c r="C12" t="s">
        <v>9</v>
      </c>
      <c r="D12">
        <v>58</v>
      </c>
      <c r="E12">
        <f t="shared" si="0"/>
        <v>1</v>
      </c>
      <c r="F12" s="2" t="str">
        <f t="shared" si="1"/>
        <v/>
      </c>
      <c r="G12" s="2">
        <f>IF(E12=1,SUM(F$3:$F11),"")</f>
        <v>0.33333333333333331</v>
      </c>
      <c r="I12" t="s">
        <v>16</v>
      </c>
    </row>
    <row r="13" spans="1:12" x14ac:dyDescent="0.3">
      <c r="A13">
        <v>12</v>
      </c>
      <c r="B13" t="s">
        <v>37</v>
      </c>
      <c r="C13" t="s">
        <v>6</v>
      </c>
      <c r="D13">
        <v>57</v>
      </c>
      <c r="E13">
        <f t="shared" si="0"/>
        <v>1</v>
      </c>
      <c r="F13" s="2" t="str">
        <f t="shared" si="1"/>
        <v/>
      </c>
      <c r="G13" s="2">
        <f>IF(E13=1,SUM(F$3:$F12),"")</f>
        <v>0.33333333333333331</v>
      </c>
      <c r="I13" t="s">
        <v>11</v>
      </c>
    </row>
    <row r="14" spans="1:12" x14ac:dyDescent="0.3">
      <c r="A14">
        <v>13</v>
      </c>
      <c r="B14" t="s">
        <v>20</v>
      </c>
      <c r="C14" t="s">
        <v>4</v>
      </c>
      <c r="D14">
        <v>57</v>
      </c>
      <c r="E14">
        <f t="shared" si="0"/>
        <v>1</v>
      </c>
      <c r="F14" s="2" t="str">
        <f t="shared" si="1"/>
        <v/>
      </c>
      <c r="G14" s="2">
        <f>IF(E14=1,SUM(F$3:$F13),"")</f>
        <v>0.33333333333333331</v>
      </c>
      <c r="I14" t="s">
        <v>64</v>
      </c>
    </row>
    <row r="15" spans="1:12" x14ac:dyDescent="0.3">
      <c r="A15">
        <v>14</v>
      </c>
      <c r="B15" t="s">
        <v>21</v>
      </c>
      <c r="C15" t="s">
        <v>4</v>
      </c>
      <c r="D15">
        <v>56</v>
      </c>
      <c r="E15">
        <f t="shared" si="0"/>
        <v>1</v>
      </c>
      <c r="F15" s="2" t="str">
        <f t="shared" si="1"/>
        <v/>
      </c>
      <c r="G15" s="2">
        <f>IF(E15=1,SUM(F$3:$F14),"")</f>
        <v>0.33333333333333331</v>
      </c>
      <c r="I15" t="s">
        <v>23</v>
      </c>
    </row>
    <row r="16" spans="1:12" x14ac:dyDescent="0.3">
      <c r="A16">
        <v>15</v>
      </c>
      <c r="B16" t="s">
        <v>10</v>
      </c>
      <c r="C16" t="s">
        <v>4</v>
      </c>
      <c r="D16">
        <v>56</v>
      </c>
      <c r="E16">
        <f t="shared" si="0"/>
        <v>0</v>
      </c>
      <c r="F16" s="2">
        <f t="shared" si="1"/>
        <v>6.6666666666666666E-2</v>
      </c>
      <c r="G16" s="2" t="str">
        <f>IF(E16=1,SUM(F$3:$F15),"")</f>
        <v/>
      </c>
      <c r="I16" t="s">
        <v>27</v>
      </c>
    </row>
    <row r="17" spans="1:9" x14ac:dyDescent="0.3">
      <c r="A17">
        <v>16</v>
      </c>
      <c r="B17" t="s">
        <v>34</v>
      </c>
      <c r="C17" t="s">
        <v>6</v>
      </c>
      <c r="D17">
        <v>56</v>
      </c>
      <c r="E17">
        <f t="shared" si="0"/>
        <v>0</v>
      </c>
      <c r="F17" s="2">
        <f t="shared" si="1"/>
        <v>6.25E-2</v>
      </c>
      <c r="G17" s="2" t="str">
        <f>IF(E17=1,SUM(F$3:$F16),"")</f>
        <v/>
      </c>
      <c r="I17" t="s">
        <v>44</v>
      </c>
    </row>
    <row r="18" spans="1:9" x14ac:dyDescent="0.3">
      <c r="A18">
        <v>17</v>
      </c>
      <c r="B18" t="s">
        <v>26</v>
      </c>
      <c r="C18" t="s">
        <v>4</v>
      </c>
      <c r="D18">
        <v>56</v>
      </c>
      <c r="E18">
        <f t="shared" si="0"/>
        <v>1</v>
      </c>
      <c r="F18" s="2" t="str">
        <f t="shared" si="1"/>
        <v/>
      </c>
      <c r="G18" s="2">
        <f>IF(E18=1,SUM(F$3:$F17),"")</f>
        <v>0.46249999999999997</v>
      </c>
      <c r="I18" t="s">
        <v>21</v>
      </c>
    </row>
    <row r="19" spans="1:9" x14ac:dyDescent="0.3">
      <c r="A19">
        <v>18</v>
      </c>
      <c r="B19" t="s">
        <v>88</v>
      </c>
      <c r="C19" t="s">
        <v>4</v>
      </c>
      <c r="D19">
        <v>56</v>
      </c>
      <c r="E19">
        <f t="shared" si="0"/>
        <v>1</v>
      </c>
      <c r="F19" s="2" t="str">
        <f t="shared" si="1"/>
        <v/>
      </c>
      <c r="G19" s="2">
        <f>IF(E19=1,SUM(F$3:$F18),"")</f>
        <v>0.46249999999999997</v>
      </c>
      <c r="I19" t="s">
        <v>18</v>
      </c>
    </row>
    <row r="20" spans="1:9" x14ac:dyDescent="0.3">
      <c r="A20">
        <v>19</v>
      </c>
      <c r="B20" t="s">
        <v>45</v>
      </c>
      <c r="C20" t="s">
        <v>9</v>
      </c>
      <c r="D20">
        <v>55</v>
      </c>
      <c r="E20">
        <f t="shared" si="0"/>
        <v>1</v>
      </c>
      <c r="F20" s="2" t="str">
        <f t="shared" si="1"/>
        <v/>
      </c>
      <c r="G20" s="2">
        <f>IF(E20=1,SUM(F$3:$F19),"")</f>
        <v>0.46249999999999997</v>
      </c>
      <c r="I20" t="s">
        <v>17</v>
      </c>
    </row>
    <row r="21" spans="1:9" x14ac:dyDescent="0.3">
      <c r="A21">
        <v>20</v>
      </c>
      <c r="B21" t="s">
        <v>38</v>
      </c>
      <c r="C21" t="s">
        <v>6</v>
      </c>
      <c r="D21">
        <v>55</v>
      </c>
      <c r="E21">
        <f t="shared" si="0"/>
        <v>1</v>
      </c>
      <c r="F21" s="2" t="str">
        <f t="shared" si="1"/>
        <v/>
      </c>
      <c r="G21" s="2">
        <f>IF(E21=1,SUM(F$3:$F20),"")</f>
        <v>0.46249999999999997</v>
      </c>
      <c r="I21" t="s">
        <v>41</v>
      </c>
    </row>
    <row r="22" spans="1:9" x14ac:dyDescent="0.3">
      <c r="A22">
        <v>21</v>
      </c>
      <c r="B22" t="s">
        <v>14</v>
      </c>
      <c r="C22" t="s">
        <v>4</v>
      </c>
      <c r="D22">
        <v>55</v>
      </c>
      <c r="E22">
        <f t="shared" si="0"/>
        <v>1</v>
      </c>
      <c r="F22" s="2" t="str">
        <f t="shared" si="1"/>
        <v/>
      </c>
      <c r="G22" s="2">
        <f>IF(E22=1,SUM(F$3:$F21),"")</f>
        <v>0.46249999999999997</v>
      </c>
      <c r="I22" t="s">
        <v>28</v>
      </c>
    </row>
    <row r="23" spans="1:9" x14ac:dyDescent="0.3">
      <c r="A23">
        <v>22</v>
      </c>
      <c r="B23" t="s">
        <v>30</v>
      </c>
      <c r="C23" t="s">
        <v>6</v>
      </c>
      <c r="D23">
        <v>55</v>
      </c>
      <c r="E23">
        <f t="shared" si="0"/>
        <v>0</v>
      </c>
      <c r="F23" s="2">
        <f t="shared" si="1"/>
        <v>4.5454545454545456E-2</v>
      </c>
      <c r="G23" s="2" t="str">
        <f>IF(E23=1,SUM(F$3:$F22),"")</f>
        <v/>
      </c>
      <c r="I23" t="s">
        <v>45</v>
      </c>
    </row>
    <row r="24" spans="1:9" x14ac:dyDescent="0.3">
      <c r="A24">
        <v>23</v>
      </c>
      <c r="B24" t="s">
        <v>89</v>
      </c>
      <c r="C24" t="s">
        <v>6</v>
      </c>
      <c r="D24">
        <v>55</v>
      </c>
      <c r="E24">
        <f t="shared" si="0"/>
        <v>1</v>
      </c>
      <c r="F24" s="2" t="str">
        <f t="shared" si="1"/>
        <v/>
      </c>
      <c r="G24" s="2">
        <f>IF(E24=1,SUM(F$3:$F23),"")</f>
        <v>0.50795454545454544</v>
      </c>
      <c r="I24" t="s">
        <v>79</v>
      </c>
    </row>
    <row r="25" spans="1:9" x14ac:dyDescent="0.3">
      <c r="A25">
        <v>24</v>
      </c>
      <c r="B25" t="s">
        <v>18</v>
      </c>
      <c r="C25" t="s">
        <v>4</v>
      </c>
      <c r="D25">
        <v>54</v>
      </c>
      <c r="E25">
        <f t="shared" si="0"/>
        <v>1</v>
      </c>
      <c r="F25" s="2" t="str">
        <f t="shared" si="1"/>
        <v/>
      </c>
      <c r="G25" s="2">
        <f>IF(E25=1,SUM(F$3:$F24),"")</f>
        <v>0.50795454545454544</v>
      </c>
      <c r="I25" t="s">
        <v>42</v>
      </c>
    </row>
    <row r="26" spans="1:9" x14ac:dyDescent="0.3">
      <c r="A26">
        <v>25</v>
      </c>
      <c r="B26" t="s">
        <v>47</v>
      </c>
      <c r="C26" t="s">
        <v>5</v>
      </c>
      <c r="D26">
        <v>53</v>
      </c>
      <c r="E26">
        <f t="shared" si="0"/>
        <v>0</v>
      </c>
      <c r="F26" s="2">
        <f t="shared" si="1"/>
        <v>0.04</v>
      </c>
      <c r="G26" s="2" t="str">
        <f>IF(E26=1,SUM(F$3:$F25),"")</f>
        <v/>
      </c>
      <c r="I26" t="s">
        <v>88</v>
      </c>
    </row>
    <row r="27" spans="1:9" x14ac:dyDescent="0.3">
      <c r="A27">
        <v>26</v>
      </c>
      <c r="B27" t="s">
        <v>23</v>
      </c>
      <c r="C27" t="s">
        <v>4</v>
      </c>
      <c r="D27">
        <v>53</v>
      </c>
      <c r="E27">
        <f t="shared" si="0"/>
        <v>1</v>
      </c>
      <c r="F27" s="2" t="str">
        <f t="shared" si="1"/>
        <v/>
      </c>
      <c r="G27" s="2">
        <f>IF(E27=1,SUM(F$3:$F26),"")</f>
        <v>0.54795454545454547</v>
      </c>
      <c r="I27" t="s">
        <v>20</v>
      </c>
    </row>
    <row r="28" spans="1:9" x14ac:dyDescent="0.3">
      <c r="A28">
        <v>27</v>
      </c>
      <c r="B28" t="s">
        <v>24</v>
      </c>
      <c r="C28" t="s">
        <v>4</v>
      </c>
      <c r="D28">
        <v>53</v>
      </c>
      <c r="E28">
        <f t="shared" si="0"/>
        <v>0</v>
      </c>
      <c r="F28" s="2">
        <f t="shared" si="1"/>
        <v>3.7037037037037035E-2</v>
      </c>
      <c r="G28" s="2" t="str">
        <f>IF(E28=1,SUM(F$3:$F27),"")</f>
        <v/>
      </c>
      <c r="I28" t="s">
        <v>36</v>
      </c>
    </row>
    <row r="29" spans="1:9" x14ac:dyDescent="0.3">
      <c r="A29">
        <v>28</v>
      </c>
      <c r="B29" t="s">
        <v>64</v>
      </c>
      <c r="C29" t="s">
        <v>5</v>
      </c>
      <c r="D29">
        <v>52</v>
      </c>
      <c r="E29">
        <f t="shared" si="0"/>
        <v>1</v>
      </c>
      <c r="F29" s="2" t="str">
        <f t="shared" si="1"/>
        <v/>
      </c>
      <c r="G29" s="2">
        <f>IF(E29=1,SUM(F$3:$F28),"")</f>
        <v>0.58499158249158256</v>
      </c>
      <c r="I29" s="4" t="s">
        <v>130</v>
      </c>
    </row>
    <row r="30" spans="1:9" x14ac:dyDescent="0.3">
      <c r="A30">
        <v>29</v>
      </c>
      <c r="B30" t="s">
        <v>73</v>
      </c>
      <c r="C30" t="s">
        <v>7</v>
      </c>
      <c r="D30">
        <v>52</v>
      </c>
      <c r="E30">
        <f t="shared" si="0"/>
        <v>1</v>
      </c>
      <c r="F30" s="2" t="str">
        <f t="shared" si="1"/>
        <v/>
      </c>
      <c r="G30" s="2">
        <f>IF(E30=1,SUM(F$3:$F29),"")</f>
        <v>0.58499158249158256</v>
      </c>
      <c r="I30" t="s">
        <v>57</v>
      </c>
    </row>
    <row r="31" spans="1:9" x14ac:dyDescent="0.3">
      <c r="A31">
        <v>30</v>
      </c>
      <c r="B31" t="s">
        <v>44</v>
      </c>
      <c r="C31" t="s">
        <v>4</v>
      </c>
      <c r="D31">
        <v>52</v>
      </c>
      <c r="E31">
        <f t="shared" si="0"/>
        <v>1</v>
      </c>
      <c r="F31" s="2" t="str">
        <f t="shared" si="1"/>
        <v/>
      </c>
      <c r="G31" s="2">
        <f>IF(E31=1,SUM(F$3:$F30),"")</f>
        <v>0.58499158249158256</v>
      </c>
      <c r="I31" t="s">
        <v>73</v>
      </c>
    </row>
    <row r="32" spans="1:9" x14ac:dyDescent="0.3">
      <c r="A32">
        <v>31</v>
      </c>
      <c r="B32" t="s">
        <v>52</v>
      </c>
      <c r="C32" t="s">
        <v>9</v>
      </c>
      <c r="D32">
        <v>52</v>
      </c>
      <c r="E32">
        <f t="shared" si="0"/>
        <v>0</v>
      </c>
      <c r="F32" s="2">
        <f t="shared" si="1"/>
        <v>3.2258064516129031E-2</v>
      </c>
      <c r="G32" s="2" t="str">
        <f>IF(E32=1,SUM(F$3:$F31),"")</f>
        <v/>
      </c>
      <c r="I32" t="s">
        <v>48</v>
      </c>
    </row>
    <row r="33" spans="1:9" x14ac:dyDescent="0.3">
      <c r="A33">
        <v>32</v>
      </c>
      <c r="B33" t="s">
        <v>12</v>
      </c>
      <c r="C33" t="s">
        <v>5</v>
      </c>
      <c r="D33">
        <v>51</v>
      </c>
      <c r="E33">
        <f t="shared" si="0"/>
        <v>0</v>
      </c>
      <c r="F33" s="2">
        <f t="shared" si="1"/>
        <v>3.125E-2</v>
      </c>
      <c r="G33" s="2" t="str">
        <f>IF(E33=1,SUM(F$3:$F32),"")</f>
        <v/>
      </c>
      <c r="I33" t="s">
        <v>62</v>
      </c>
    </row>
    <row r="34" spans="1:9" x14ac:dyDescent="0.3">
      <c r="A34">
        <v>33</v>
      </c>
      <c r="B34" t="s">
        <v>42</v>
      </c>
      <c r="C34" t="s">
        <v>9</v>
      </c>
      <c r="D34">
        <v>51</v>
      </c>
      <c r="E34">
        <f t="shared" si="0"/>
        <v>1</v>
      </c>
      <c r="F34" s="2" t="str">
        <f t="shared" si="1"/>
        <v/>
      </c>
      <c r="G34" s="2">
        <f>IF(E34=1,SUM(F$3:$F33),"")</f>
        <v>0.64849964700771157</v>
      </c>
    </row>
    <row r="35" spans="1:9" x14ac:dyDescent="0.3">
      <c r="A35">
        <v>34</v>
      </c>
      <c r="B35" t="s">
        <v>15</v>
      </c>
      <c r="C35" t="s">
        <v>4</v>
      </c>
      <c r="D35">
        <v>50</v>
      </c>
      <c r="E35">
        <f t="shared" si="0"/>
        <v>1</v>
      </c>
      <c r="F35" s="2" t="str">
        <f t="shared" si="1"/>
        <v/>
      </c>
      <c r="G35" s="2">
        <f>IF(E35=1,SUM(F$3:$F34),"")</f>
        <v>0.64849964700771157</v>
      </c>
    </row>
    <row r="36" spans="1:9" x14ac:dyDescent="0.3">
      <c r="A36">
        <v>35</v>
      </c>
      <c r="B36" t="s">
        <v>36</v>
      </c>
      <c r="C36" t="s">
        <v>4</v>
      </c>
      <c r="D36">
        <v>50</v>
      </c>
      <c r="E36">
        <f t="shared" si="0"/>
        <v>1</v>
      </c>
      <c r="F36" s="2" t="str">
        <f t="shared" si="1"/>
        <v/>
      </c>
      <c r="G36" s="2">
        <f>IF(E36=1,SUM(F$3:$F35),"")</f>
        <v>0.64849964700771157</v>
      </c>
    </row>
    <row r="37" spans="1:9" x14ac:dyDescent="0.3">
      <c r="A37">
        <v>36</v>
      </c>
      <c r="B37" t="s">
        <v>70</v>
      </c>
      <c r="C37" t="s">
        <v>5</v>
      </c>
      <c r="D37">
        <v>50</v>
      </c>
      <c r="E37">
        <f t="shared" si="0"/>
        <v>0</v>
      </c>
      <c r="F37" s="2">
        <f t="shared" si="1"/>
        <v>2.7777777777777776E-2</v>
      </c>
      <c r="G37" s="2" t="str">
        <f>IF(E37=1,SUM(F$3:$F36),"")</f>
        <v/>
      </c>
    </row>
    <row r="38" spans="1:9" x14ac:dyDescent="0.3">
      <c r="A38">
        <v>37</v>
      </c>
      <c r="B38" t="s">
        <v>29</v>
      </c>
      <c r="C38" t="s">
        <v>5</v>
      </c>
      <c r="D38">
        <v>50</v>
      </c>
      <c r="E38">
        <f t="shared" si="0"/>
        <v>0</v>
      </c>
      <c r="F38" s="2">
        <f t="shared" si="1"/>
        <v>2.7027027027027029E-2</v>
      </c>
      <c r="G38" s="2" t="str">
        <f>IF(E38=1,SUM(F$3:$F37),"")</f>
        <v/>
      </c>
    </row>
    <row r="39" spans="1:9" x14ac:dyDescent="0.3">
      <c r="A39">
        <v>38</v>
      </c>
      <c r="B39" t="s">
        <v>32</v>
      </c>
      <c r="C39" t="s">
        <v>4</v>
      </c>
      <c r="D39">
        <v>49</v>
      </c>
      <c r="E39">
        <f t="shared" si="0"/>
        <v>0</v>
      </c>
      <c r="F39" s="2">
        <f t="shared" si="1"/>
        <v>2.6315789473684209E-2</v>
      </c>
      <c r="G39" s="2" t="str">
        <f>IF(E39=1,SUM(F$3:$F38),"")</f>
        <v/>
      </c>
    </row>
    <row r="40" spans="1:9" x14ac:dyDescent="0.3">
      <c r="A40">
        <v>39</v>
      </c>
      <c r="B40" t="s">
        <v>50</v>
      </c>
      <c r="C40" t="s">
        <v>4</v>
      </c>
      <c r="D40">
        <v>49</v>
      </c>
      <c r="E40">
        <f t="shared" si="0"/>
        <v>0</v>
      </c>
      <c r="F40" s="2">
        <f t="shared" si="1"/>
        <v>2.564102564102564E-2</v>
      </c>
      <c r="G40" s="2" t="str">
        <f>IF(E40=1,SUM(F$3:$F39),"")</f>
        <v/>
      </c>
    </row>
    <row r="41" spans="1:9" x14ac:dyDescent="0.3">
      <c r="A41">
        <v>40</v>
      </c>
      <c r="B41" t="s">
        <v>41</v>
      </c>
      <c r="C41" t="s">
        <v>4</v>
      </c>
      <c r="D41">
        <v>48</v>
      </c>
      <c r="E41">
        <f t="shared" si="0"/>
        <v>1</v>
      </c>
      <c r="F41" s="2" t="str">
        <f t="shared" si="1"/>
        <v/>
      </c>
      <c r="G41" s="2">
        <f>IF(E41=1,SUM(F$3:$F40),"")</f>
        <v>0.75526126692722628</v>
      </c>
    </row>
    <row r="42" spans="1:9" x14ac:dyDescent="0.3">
      <c r="A42">
        <v>41</v>
      </c>
      <c r="B42" t="s">
        <v>62</v>
      </c>
      <c r="C42" t="s">
        <v>9</v>
      </c>
      <c r="D42">
        <v>48</v>
      </c>
      <c r="E42">
        <f t="shared" si="0"/>
        <v>1</v>
      </c>
      <c r="F42" s="2" t="str">
        <f t="shared" si="1"/>
        <v/>
      </c>
      <c r="G42" s="2">
        <f>IF(E42=1,SUM(F$3:$F41),"")</f>
        <v>0.75526126692722628</v>
      </c>
    </row>
    <row r="43" spans="1:9" x14ac:dyDescent="0.3">
      <c r="A43">
        <v>42</v>
      </c>
      <c r="B43" t="s">
        <v>77</v>
      </c>
      <c r="C43" t="s">
        <v>9</v>
      </c>
      <c r="D43">
        <v>47</v>
      </c>
      <c r="E43">
        <f t="shared" si="0"/>
        <v>0</v>
      </c>
      <c r="F43" s="2">
        <f t="shared" si="1"/>
        <v>2.3809523809523808E-2</v>
      </c>
      <c r="G43" s="2" t="str">
        <f>IF(E43=1,SUM(F$3:$F42),"")</f>
        <v/>
      </c>
    </row>
    <row r="44" spans="1:9" x14ac:dyDescent="0.3">
      <c r="A44">
        <v>43</v>
      </c>
      <c r="B44" t="s">
        <v>31</v>
      </c>
      <c r="C44" t="s">
        <v>6</v>
      </c>
      <c r="D44">
        <v>47</v>
      </c>
      <c r="E44">
        <f t="shared" si="0"/>
        <v>0</v>
      </c>
      <c r="F44" s="2">
        <f t="shared" si="1"/>
        <v>2.3255813953488372E-2</v>
      </c>
      <c r="G44" s="2" t="str">
        <f>IF(E44=1,SUM(F$3:$F43),"")</f>
        <v/>
      </c>
    </row>
    <row r="45" spans="1:9" x14ac:dyDescent="0.3">
      <c r="A45">
        <v>44</v>
      </c>
      <c r="B45" t="s">
        <v>90</v>
      </c>
      <c r="C45" t="s">
        <v>4</v>
      </c>
      <c r="D45">
        <v>47</v>
      </c>
      <c r="E45">
        <f t="shared" si="0"/>
        <v>0</v>
      </c>
      <c r="F45" s="2">
        <f t="shared" si="1"/>
        <v>2.2727272727272728E-2</v>
      </c>
      <c r="G45" s="2" t="str">
        <f>IF(E45=1,SUM(F$3:$F44),"")</f>
        <v/>
      </c>
    </row>
    <row r="46" spans="1:9" x14ac:dyDescent="0.3">
      <c r="A46">
        <v>45</v>
      </c>
      <c r="B46" t="s">
        <v>83</v>
      </c>
      <c r="C46" t="s">
        <v>4</v>
      </c>
      <c r="D46">
        <v>46</v>
      </c>
      <c r="E46">
        <f t="shared" si="0"/>
        <v>0</v>
      </c>
      <c r="F46" s="2">
        <f t="shared" si="1"/>
        <v>2.2222222222222223E-2</v>
      </c>
      <c r="G46" s="2" t="str">
        <f>IF(E46=1,SUM(F$3:$F45),"")</f>
        <v/>
      </c>
    </row>
    <row r="47" spans="1:9" x14ac:dyDescent="0.3">
      <c r="A47">
        <v>46</v>
      </c>
      <c r="B47" t="s">
        <v>58</v>
      </c>
      <c r="C47" t="s">
        <v>4</v>
      </c>
      <c r="D47">
        <v>46</v>
      </c>
      <c r="E47">
        <f t="shared" si="0"/>
        <v>0</v>
      </c>
      <c r="F47" s="2">
        <f t="shared" si="1"/>
        <v>2.1739130434782608E-2</v>
      </c>
      <c r="G47" s="2" t="str">
        <f>IF(E47=1,SUM(F$3:$F46),"")</f>
        <v/>
      </c>
    </row>
    <row r="48" spans="1:9" x14ac:dyDescent="0.3">
      <c r="A48">
        <v>47</v>
      </c>
      <c r="B48" t="s">
        <v>121</v>
      </c>
      <c r="C48" t="s">
        <v>7</v>
      </c>
      <c r="D48">
        <v>45</v>
      </c>
      <c r="E48">
        <f t="shared" si="0"/>
        <v>0</v>
      </c>
      <c r="F48" s="2">
        <f t="shared" si="1"/>
        <v>2.1276595744680851E-2</v>
      </c>
      <c r="G48" s="2" t="str">
        <f>IF(E48=1,SUM(F$3:$F47),"")</f>
        <v/>
      </c>
    </row>
    <row r="49" spans="1:7" x14ac:dyDescent="0.3">
      <c r="A49">
        <v>48</v>
      </c>
      <c r="B49" t="s">
        <v>33</v>
      </c>
      <c r="C49" t="s">
        <v>6</v>
      </c>
      <c r="D49">
        <v>45</v>
      </c>
      <c r="E49">
        <f t="shared" si="0"/>
        <v>1</v>
      </c>
      <c r="F49" s="2" t="str">
        <f t="shared" si="1"/>
        <v/>
      </c>
      <c r="G49" s="2">
        <f>IF(E49=1,SUM(F$3:$F48),"")</f>
        <v>0.89029182581919697</v>
      </c>
    </row>
    <row r="50" spans="1:7" x14ac:dyDescent="0.3">
      <c r="A50">
        <v>49</v>
      </c>
      <c r="B50" t="s">
        <v>78</v>
      </c>
      <c r="C50" t="s">
        <v>9</v>
      </c>
      <c r="D50">
        <v>45</v>
      </c>
      <c r="E50">
        <f t="shared" si="0"/>
        <v>0</v>
      </c>
      <c r="F50" s="2">
        <f t="shared" si="1"/>
        <v>2.0408163265306121E-2</v>
      </c>
      <c r="G50" s="2" t="str">
        <f>IF(E50=1,SUM(F$3:$F49),"")</f>
        <v/>
      </c>
    </row>
    <row r="51" spans="1:7" x14ac:dyDescent="0.3">
      <c r="A51">
        <v>50</v>
      </c>
      <c r="B51" t="s">
        <v>63</v>
      </c>
      <c r="C51" t="s">
        <v>9</v>
      </c>
      <c r="D51">
        <v>45</v>
      </c>
      <c r="E51">
        <f t="shared" si="0"/>
        <v>0</v>
      </c>
      <c r="F51" s="2">
        <f t="shared" si="1"/>
        <v>0.02</v>
      </c>
      <c r="G51" s="2" t="str">
        <f>IF(E51=1,SUM(F$3:$F50),"")</f>
        <v/>
      </c>
    </row>
    <row r="52" spans="1:7" x14ac:dyDescent="0.3">
      <c r="A52">
        <v>51</v>
      </c>
      <c r="B52" t="s">
        <v>92</v>
      </c>
      <c r="C52" t="s">
        <v>4</v>
      </c>
      <c r="D52">
        <v>45</v>
      </c>
      <c r="E52">
        <f t="shared" si="0"/>
        <v>0</v>
      </c>
      <c r="F52" s="2">
        <f t="shared" si="1"/>
        <v>1.9607843137254902E-2</v>
      </c>
      <c r="G52" s="2" t="str">
        <f>IF(E52=1,SUM(F$3:$F51),"")</f>
        <v/>
      </c>
    </row>
    <row r="53" spans="1:7" x14ac:dyDescent="0.3">
      <c r="A53">
        <v>52</v>
      </c>
      <c r="B53" t="s">
        <v>129</v>
      </c>
      <c r="C53" t="s">
        <v>4</v>
      </c>
      <c r="D53">
        <v>45</v>
      </c>
      <c r="E53">
        <f t="shared" si="0"/>
        <v>0</v>
      </c>
      <c r="F53" s="2">
        <f t="shared" si="1"/>
        <v>1.9230769230769232E-2</v>
      </c>
      <c r="G53" s="2" t="str">
        <f>IF(E53=1,SUM(F$3:$F52),"")</f>
        <v/>
      </c>
    </row>
    <row r="54" spans="1:7" x14ac:dyDescent="0.3">
      <c r="A54">
        <v>53</v>
      </c>
      <c r="B54" t="s">
        <v>40</v>
      </c>
      <c r="C54" t="s">
        <v>4</v>
      </c>
      <c r="D54">
        <v>44</v>
      </c>
      <c r="E54">
        <f t="shared" si="0"/>
        <v>0</v>
      </c>
      <c r="F54" s="2">
        <f t="shared" si="1"/>
        <v>1.8867924528301886E-2</v>
      </c>
      <c r="G54" s="2" t="str">
        <f>IF(E54=1,SUM(F$3:$F53),"")</f>
        <v/>
      </c>
    </row>
    <row r="55" spans="1:7" x14ac:dyDescent="0.3">
      <c r="A55">
        <v>54</v>
      </c>
      <c r="B55" t="s">
        <v>39</v>
      </c>
      <c r="C55" t="s">
        <v>4</v>
      </c>
      <c r="D55">
        <v>44</v>
      </c>
      <c r="E55">
        <f t="shared" si="0"/>
        <v>0</v>
      </c>
      <c r="F55" s="2">
        <f t="shared" si="1"/>
        <v>1.8518518518518517E-2</v>
      </c>
      <c r="G55" s="2" t="str">
        <f>IF(E55=1,SUM(F$3:$F54),"")</f>
        <v/>
      </c>
    </row>
    <row r="56" spans="1:7" x14ac:dyDescent="0.3">
      <c r="A56">
        <v>55</v>
      </c>
      <c r="B56" t="s">
        <v>93</v>
      </c>
      <c r="C56" t="s">
        <v>6</v>
      </c>
      <c r="D56">
        <v>44</v>
      </c>
      <c r="E56">
        <f t="shared" si="0"/>
        <v>0</v>
      </c>
      <c r="F56" s="2">
        <f t="shared" si="1"/>
        <v>1.8181818181818181E-2</v>
      </c>
      <c r="G56" s="2" t="str">
        <f>IF(E56=1,SUM(F$3:$F55),"")</f>
        <v/>
      </c>
    </row>
    <row r="57" spans="1:7" x14ac:dyDescent="0.3">
      <c r="A57">
        <v>56</v>
      </c>
      <c r="B57" t="s">
        <v>53</v>
      </c>
      <c r="C57" t="s">
        <v>6</v>
      </c>
      <c r="D57">
        <v>43</v>
      </c>
      <c r="E57">
        <f t="shared" si="0"/>
        <v>0</v>
      </c>
      <c r="F57" s="2">
        <f t="shared" si="1"/>
        <v>1.7857142857142856E-2</v>
      </c>
      <c r="G57" s="2" t="str">
        <f>IF(E57=1,SUM(F$3:$F56),"")</f>
        <v/>
      </c>
    </row>
    <row r="58" spans="1:7" x14ac:dyDescent="0.3">
      <c r="A58">
        <v>57</v>
      </c>
      <c r="B58" t="s">
        <v>56</v>
      </c>
      <c r="C58" t="s">
        <v>7</v>
      </c>
      <c r="D58">
        <v>43</v>
      </c>
      <c r="E58">
        <f t="shared" si="0"/>
        <v>0</v>
      </c>
      <c r="F58" s="2">
        <f t="shared" si="1"/>
        <v>1.7543859649122806E-2</v>
      </c>
      <c r="G58" s="2" t="str">
        <f>IF(E58=1,SUM(F$3:$F57),"")</f>
        <v/>
      </c>
    </row>
    <row r="59" spans="1:7" x14ac:dyDescent="0.3">
      <c r="A59">
        <v>58</v>
      </c>
      <c r="B59" t="s">
        <v>82</v>
      </c>
      <c r="C59" t="s">
        <v>9</v>
      </c>
      <c r="D59">
        <v>43</v>
      </c>
      <c r="E59">
        <f t="shared" si="0"/>
        <v>0</v>
      </c>
      <c r="F59" s="2">
        <f t="shared" si="1"/>
        <v>1.7241379310344827E-2</v>
      </c>
      <c r="G59" s="2" t="str">
        <f>IF(E59=1,SUM(F$3:$F58),"")</f>
        <v/>
      </c>
    </row>
    <row r="60" spans="1:7" x14ac:dyDescent="0.3">
      <c r="A60">
        <v>59</v>
      </c>
      <c r="B60" t="s">
        <v>65</v>
      </c>
      <c r="C60" t="s">
        <v>6</v>
      </c>
      <c r="D60">
        <v>43</v>
      </c>
      <c r="E60">
        <f t="shared" si="0"/>
        <v>0</v>
      </c>
      <c r="F60" s="2">
        <f t="shared" si="1"/>
        <v>1.6949152542372881E-2</v>
      </c>
      <c r="G60" s="2" t="str">
        <f>IF(E60=1,SUM(F$3:$F59),"")</f>
        <v/>
      </c>
    </row>
    <row r="61" spans="1:7" x14ac:dyDescent="0.3">
      <c r="A61">
        <v>60</v>
      </c>
      <c r="B61" t="s">
        <v>51</v>
      </c>
      <c r="C61" t="s">
        <v>4</v>
      </c>
      <c r="D61">
        <v>42</v>
      </c>
      <c r="E61">
        <f t="shared" si="0"/>
        <v>0</v>
      </c>
      <c r="F61" s="2">
        <f t="shared" si="1"/>
        <v>1.6666666666666666E-2</v>
      </c>
      <c r="G61" s="2" t="str">
        <f>IF(E61=1,SUM(F$3:$F60),"")</f>
        <v/>
      </c>
    </row>
    <row r="62" spans="1:7" x14ac:dyDescent="0.3">
      <c r="A62">
        <v>61</v>
      </c>
      <c r="B62" t="s">
        <v>61</v>
      </c>
      <c r="C62" t="s">
        <v>4</v>
      </c>
      <c r="D62">
        <v>42</v>
      </c>
      <c r="E62">
        <f t="shared" si="0"/>
        <v>0</v>
      </c>
      <c r="F62" s="2">
        <f t="shared" si="1"/>
        <v>1.6393442622950821E-2</v>
      </c>
      <c r="G62" s="2" t="str">
        <f>IF(E62=1,SUM(F$3:$F61),"")</f>
        <v/>
      </c>
    </row>
    <row r="63" spans="1:7" x14ac:dyDescent="0.3">
      <c r="A63">
        <v>62</v>
      </c>
      <c r="B63" t="s">
        <v>66</v>
      </c>
      <c r="C63" t="s">
        <v>6</v>
      </c>
      <c r="D63">
        <v>41</v>
      </c>
      <c r="E63">
        <f t="shared" si="0"/>
        <v>0</v>
      </c>
      <c r="F63" s="2">
        <f t="shared" si="1"/>
        <v>1.6129032258064516E-2</v>
      </c>
      <c r="G63" s="2" t="str">
        <f>IF(E63=1,SUM(F$3:$F62),"")</f>
        <v/>
      </c>
    </row>
    <row r="64" spans="1:7" x14ac:dyDescent="0.3">
      <c r="A64">
        <v>63</v>
      </c>
      <c r="B64" t="s">
        <v>94</v>
      </c>
      <c r="C64" t="s">
        <v>4</v>
      </c>
      <c r="D64">
        <v>40</v>
      </c>
      <c r="E64">
        <f t="shared" si="0"/>
        <v>0</v>
      </c>
      <c r="F64" s="2">
        <f t="shared" si="1"/>
        <v>1.5873015873015872E-2</v>
      </c>
      <c r="G64" s="2" t="str">
        <f>IF(E64=1,SUM(F$3:$F63),"")</f>
        <v/>
      </c>
    </row>
    <row r="65" spans="1:7" x14ac:dyDescent="0.3">
      <c r="A65">
        <v>64</v>
      </c>
      <c r="B65" t="s">
        <v>35</v>
      </c>
      <c r="C65" t="s">
        <v>6</v>
      </c>
      <c r="D65">
        <v>40</v>
      </c>
      <c r="E65">
        <f t="shared" si="0"/>
        <v>0</v>
      </c>
      <c r="F65" s="2">
        <f t="shared" si="1"/>
        <v>1.5625E-2</v>
      </c>
      <c r="G65" s="2" t="str">
        <f>IF(E65=1,SUM(F$3:$F64),"")</f>
        <v/>
      </c>
    </row>
    <row r="66" spans="1:7" x14ac:dyDescent="0.3">
      <c r="A66">
        <v>65</v>
      </c>
      <c r="B66" t="s">
        <v>54</v>
      </c>
      <c r="C66" t="s">
        <v>6</v>
      </c>
      <c r="D66">
        <v>40</v>
      </c>
      <c r="E66">
        <f t="shared" si="0"/>
        <v>0</v>
      </c>
      <c r="F66" s="2">
        <f t="shared" si="1"/>
        <v>1.5384615384615385E-2</v>
      </c>
      <c r="G66" s="2" t="str">
        <f>IF(E66=1,SUM(F$3:$F65),"")</f>
        <v/>
      </c>
    </row>
    <row r="67" spans="1:7" x14ac:dyDescent="0.3">
      <c r="A67">
        <v>66</v>
      </c>
      <c r="B67" t="s">
        <v>95</v>
      </c>
      <c r="C67" t="s">
        <v>6</v>
      </c>
      <c r="D67">
        <v>39</v>
      </c>
      <c r="E67">
        <f t="shared" ref="E67:E76" si="2">IF(COUNTIF($I$2:$I$33,B67)&gt;0,1,0)</f>
        <v>0</v>
      </c>
      <c r="F67" s="2">
        <f t="shared" ref="F67:F76" si="3">IF(E67=1,"",1/A67)</f>
        <v>1.5151515151515152E-2</v>
      </c>
      <c r="G67" s="2" t="str">
        <f>IF(E67=1,SUM(F$3:$F66),"")</f>
        <v/>
      </c>
    </row>
    <row r="68" spans="1:7" x14ac:dyDescent="0.3">
      <c r="A68">
        <v>67</v>
      </c>
      <c r="B68" t="s">
        <v>71</v>
      </c>
      <c r="C68" t="s">
        <v>7</v>
      </c>
      <c r="D68">
        <v>39</v>
      </c>
      <c r="E68">
        <f t="shared" si="2"/>
        <v>0</v>
      </c>
      <c r="F68" s="2">
        <f t="shared" si="3"/>
        <v>1.4925373134328358E-2</v>
      </c>
      <c r="G68" s="2" t="str">
        <f>IF(E68=1,SUM(F$3:$F67),"")</f>
        <v/>
      </c>
    </row>
    <row r="69" spans="1:7" x14ac:dyDescent="0.3">
      <c r="A69">
        <v>68</v>
      </c>
      <c r="B69" t="s">
        <v>96</v>
      </c>
      <c r="C69" t="s">
        <v>6</v>
      </c>
      <c r="D69">
        <v>39</v>
      </c>
      <c r="E69">
        <f t="shared" si="2"/>
        <v>0</v>
      </c>
      <c r="F69" s="2">
        <f t="shared" si="3"/>
        <v>1.4705882352941176E-2</v>
      </c>
      <c r="G69" s="2" t="str">
        <f>IF(E69=1,SUM(F$3:$F68),"")</f>
        <v/>
      </c>
    </row>
    <row r="70" spans="1:7" x14ac:dyDescent="0.3">
      <c r="A70">
        <v>69</v>
      </c>
      <c r="B70" t="s">
        <v>72</v>
      </c>
      <c r="C70" t="s">
        <v>9</v>
      </c>
      <c r="D70">
        <v>38</v>
      </c>
      <c r="E70">
        <f t="shared" si="2"/>
        <v>0</v>
      </c>
      <c r="F70" s="2">
        <f t="shared" si="3"/>
        <v>1.4492753623188406E-2</v>
      </c>
      <c r="G70" s="2" t="str">
        <f>IF(E70=1,SUM(F$3:$F69),"")</f>
        <v/>
      </c>
    </row>
    <row r="71" spans="1:7" x14ac:dyDescent="0.3">
      <c r="A71">
        <v>70</v>
      </c>
      <c r="B71" t="s">
        <v>97</v>
      </c>
      <c r="C71" t="s">
        <v>4</v>
      </c>
      <c r="D71">
        <v>38</v>
      </c>
      <c r="E71">
        <f t="shared" si="2"/>
        <v>0</v>
      </c>
      <c r="F71" s="2">
        <f t="shared" si="3"/>
        <v>1.4285714285714285E-2</v>
      </c>
      <c r="G71" s="2" t="str">
        <f>IF(E71=1,SUM(F$3:$F70),"")</f>
        <v/>
      </c>
    </row>
    <row r="72" spans="1:7" x14ac:dyDescent="0.3">
      <c r="A72">
        <v>71</v>
      </c>
      <c r="B72" t="s">
        <v>46</v>
      </c>
      <c r="C72" t="s">
        <v>4</v>
      </c>
      <c r="D72">
        <v>37</v>
      </c>
      <c r="E72">
        <f t="shared" si="2"/>
        <v>0</v>
      </c>
      <c r="F72" s="2">
        <f t="shared" si="3"/>
        <v>1.4084507042253521E-2</v>
      </c>
      <c r="G72" s="2" t="str">
        <f>IF(E72=1,SUM(F$3:$F71),"")</f>
        <v/>
      </c>
    </row>
    <row r="73" spans="1:7" x14ac:dyDescent="0.3">
      <c r="A73">
        <v>72</v>
      </c>
      <c r="B73" t="s">
        <v>98</v>
      </c>
      <c r="C73" t="s">
        <v>6</v>
      </c>
      <c r="D73">
        <v>37</v>
      </c>
      <c r="E73">
        <f t="shared" si="2"/>
        <v>0</v>
      </c>
      <c r="F73" s="2">
        <f t="shared" si="3"/>
        <v>1.3888888888888888E-2</v>
      </c>
      <c r="G73" s="2" t="str">
        <f>IF(E73=1,SUM(F$3:$F72),"")</f>
        <v/>
      </c>
    </row>
    <row r="74" spans="1:7" x14ac:dyDescent="0.3">
      <c r="A74">
        <v>73</v>
      </c>
      <c r="B74" t="s">
        <v>13</v>
      </c>
      <c r="C74" t="s">
        <v>6</v>
      </c>
      <c r="D74">
        <v>37</v>
      </c>
      <c r="E74">
        <f t="shared" si="2"/>
        <v>1</v>
      </c>
      <c r="F74" s="2" t="str">
        <f t="shared" si="3"/>
        <v/>
      </c>
      <c r="G74" s="2">
        <f>IF(E74=1,SUM(F$3:$F73),"")</f>
        <v>1.292304804324292</v>
      </c>
    </row>
    <row r="75" spans="1:7" x14ac:dyDescent="0.3">
      <c r="A75">
        <v>74</v>
      </c>
      <c r="B75" t="s">
        <v>99</v>
      </c>
      <c r="C75" t="s">
        <v>7</v>
      </c>
      <c r="D75">
        <v>37</v>
      </c>
      <c r="E75">
        <f t="shared" si="2"/>
        <v>0</v>
      </c>
      <c r="F75" s="2">
        <f t="shared" si="3"/>
        <v>1.3513513513513514E-2</v>
      </c>
      <c r="G75" s="2" t="str">
        <f>IF(E75=1,SUM(F$3:$F74),"")</f>
        <v/>
      </c>
    </row>
    <row r="76" spans="1:7" x14ac:dyDescent="0.3">
      <c r="A76">
        <v>75</v>
      </c>
      <c r="B76" t="s">
        <v>100</v>
      </c>
      <c r="C76" t="s">
        <v>6</v>
      </c>
      <c r="D76">
        <v>37</v>
      </c>
      <c r="E76">
        <f t="shared" si="2"/>
        <v>0</v>
      </c>
      <c r="F76" s="2">
        <f t="shared" si="3"/>
        <v>1.3333333333333334E-2</v>
      </c>
      <c r="G76" s="2" t="str">
        <f>IF(E76=1,SUM(F$3:$F75),"")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15F1-8DE6-4D9C-8325-F405BC275AEB}">
  <dimension ref="A1:L76"/>
  <sheetViews>
    <sheetView workbookViewId="0">
      <selection activeCell="L3" sqref="L3"/>
    </sheetView>
  </sheetViews>
  <sheetFormatPr defaultRowHeight="14.4" x14ac:dyDescent="0.3"/>
  <cols>
    <col min="1" max="1" width="3" bestFit="1" customWidth="1"/>
    <col min="2" max="2" width="28.44140625" bestFit="1" customWidth="1"/>
    <col min="3" max="3" width="12.77734375" bestFit="1" customWidth="1"/>
    <col min="4" max="4" width="6.21875" bestFit="1" customWidth="1"/>
    <col min="5" max="5" width="9.6640625" bestFit="1" customWidth="1"/>
    <col min="6" max="6" width="7.21875" bestFit="1" customWidth="1"/>
    <col min="7" max="7" width="15.77734375" bestFit="1" customWidth="1"/>
    <col min="9" max="9" width="15.88671875" bestFit="1" customWidth="1"/>
    <col min="11" max="11" width="32.5546875" bestFit="1" customWidth="1"/>
    <col min="12" max="12" width="5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85</v>
      </c>
      <c r="F1" s="1" t="s">
        <v>87</v>
      </c>
      <c r="G1" s="1" t="s">
        <v>141</v>
      </c>
      <c r="I1" s="1" t="s">
        <v>84</v>
      </c>
    </row>
    <row r="2" spans="1:12" x14ac:dyDescent="0.3">
      <c r="A2">
        <v>1</v>
      </c>
      <c r="B2" t="s">
        <v>26</v>
      </c>
      <c r="C2" t="s">
        <v>4</v>
      </c>
      <c r="D2">
        <v>802</v>
      </c>
      <c r="E2">
        <f>IF(COUNTIF($I$2:$I$33,B2)&gt;0,1,0)</f>
        <v>1</v>
      </c>
      <c r="F2" s="2" t="str">
        <f>IF(E2=1,"",1/A2)</f>
        <v/>
      </c>
      <c r="G2" s="2">
        <v>0</v>
      </c>
      <c r="I2" t="s">
        <v>57</v>
      </c>
    </row>
    <row r="3" spans="1:12" x14ac:dyDescent="0.3">
      <c r="A3">
        <v>2</v>
      </c>
      <c r="B3" t="s">
        <v>19</v>
      </c>
      <c r="C3" t="s">
        <v>5</v>
      </c>
      <c r="D3">
        <v>784</v>
      </c>
      <c r="E3">
        <f t="shared" ref="E3:E66" si="0">IF(COUNTIF($I$2:$I$33,B3)&gt;0,1,0)</f>
        <v>1</v>
      </c>
      <c r="F3" s="2" t="str">
        <f t="shared" ref="F3:F66" si="1">IF(E3=1,"",1/A3)</f>
        <v/>
      </c>
      <c r="G3" s="2">
        <f>IF(E3=1,SUM(F2:$F$3),"")</f>
        <v>0</v>
      </c>
      <c r="I3" t="s">
        <v>45</v>
      </c>
      <c r="K3" s="3" t="s">
        <v>131</v>
      </c>
      <c r="L3" s="2">
        <f>SUM(F:F)*(COUNTA(I:I)-1)</f>
        <v>40.613611262401193</v>
      </c>
    </row>
    <row r="4" spans="1:12" x14ac:dyDescent="0.3">
      <c r="A4">
        <v>3</v>
      </c>
      <c r="B4" t="s">
        <v>16</v>
      </c>
      <c r="C4" t="s">
        <v>5</v>
      </c>
      <c r="D4">
        <v>784</v>
      </c>
      <c r="E4">
        <f t="shared" si="0"/>
        <v>1</v>
      </c>
      <c r="F4" s="2" t="str">
        <f t="shared" si="1"/>
        <v/>
      </c>
      <c r="G4" s="2">
        <f>IF(E4=1,SUM(F3:$F$3),"")</f>
        <v>0</v>
      </c>
      <c r="I4" t="s">
        <v>26</v>
      </c>
      <c r="K4" t="s">
        <v>136</v>
      </c>
      <c r="L4" s="2">
        <f>SUMIF(C:C,"UEFA",G:G)/COUNTIFS(C:C,"UEFA",E:E,1)*100</f>
        <v>40.820051807932131</v>
      </c>
    </row>
    <row r="5" spans="1:12" x14ac:dyDescent="0.3">
      <c r="A5">
        <v>4</v>
      </c>
      <c r="B5" t="s">
        <v>11</v>
      </c>
      <c r="C5" t="s">
        <v>5</v>
      </c>
      <c r="D5">
        <v>728</v>
      </c>
      <c r="E5">
        <f t="shared" si="0"/>
        <v>0</v>
      </c>
      <c r="F5" s="2">
        <f t="shared" si="1"/>
        <v>0.25</v>
      </c>
      <c r="G5" s="2" t="str">
        <f>IF(E5=1,SUM(F$3:$F4),"")</f>
        <v/>
      </c>
      <c r="I5" t="s">
        <v>33</v>
      </c>
      <c r="K5" t="s">
        <v>135</v>
      </c>
      <c r="L5" s="2">
        <f>SUMIF(C:C,"CONMEBOL",G:G)/COUNTIFS(C:C,"CONMEBOL",E:E,1)*100</f>
        <v>32.98494174858272</v>
      </c>
    </row>
    <row r="6" spans="1:12" x14ac:dyDescent="0.3">
      <c r="A6">
        <v>5</v>
      </c>
      <c r="B6" t="s">
        <v>32</v>
      </c>
      <c r="C6" t="s">
        <v>4</v>
      </c>
      <c r="D6">
        <v>726</v>
      </c>
      <c r="E6">
        <f t="shared" si="0"/>
        <v>1</v>
      </c>
      <c r="F6" s="2" t="str">
        <f t="shared" si="1"/>
        <v/>
      </c>
      <c r="G6" s="2">
        <f>IF(E6=1,SUM(F$3:$F5),"")</f>
        <v>0.25</v>
      </c>
      <c r="I6" t="s">
        <v>89</v>
      </c>
      <c r="K6" t="s">
        <v>134</v>
      </c>
      <c r="L6" s="2">
        <f>SUMIF(C:C,"CONCACAF",G:G)/COUNTIFS(C:C,"CONCACAF",E:E,1)*100</f>
        <v>38.527065527065531</v>
      </c>
    </row>
    <row r="7" spans="1:12" x14ac:dyDescent="0.3">
      <c r="A7">
        <v>6</v>
      </c>
      <c r="B7" t="s">
        <v>20</v>
      </c>
      <c r="C7" t="s">
        <v>4</v>
      </c>
      <c r="D7">
        <v>717</v>
      </c>
      <c r="E7">
        <f t="shared" si="0"/>
        <v>1</v>
      </c>
      <c r="F7" s="2" t="str">
        <f t="shared" si="1"/>
        <v/>
      </c>
      <c r="G7" s="2">
        <f>IF(E7=1,SUM(F$3:$F6),"")</f>
        <v>0.25</v>
      </c>
      <c r="I7" t="s">
        <v>38</v>
      </c>
      <c r="K7" t="s">
        <v>133</v>
      </c>
      <c r="L7" s="2">
        <f>SUMIF(C:C,"CAF",G:G)/COUNTIFS(C:C,"CAF",E:E,1)*100</f>
        <v>59.191837365035816</v>
      </c>
    </row>
    <row r="8" spans="1:12" x14ac:dyDescent="0.3">
      <c r="A8">
        <v>7</v>
      </c>
      <c r="B8" t="s">
        <v>28</v>
      </c>
      <c r="C8" t="s">
        <v>7</v>
      </c>
      <c r="D8">
        <v>716</v>
      </c>
      <c r="E8">
        <f t="shared" si="0"/>
        <v>1</v>
      </c>
      <c r="F8" s="2" t="str">
        <f t="shared" si="1"/>
        <v/>
      </c>
      <c r="G8" s="2">
        <f>IF(E8=1,SUM(F$3:$F7),"")</f>
        <v>0.25</v>
      </c>
      <c r="I8" t="s">
        <v>60</v>
      </c>
      <c r="K8" t="s">
        <v>132</v>
      </c>
      <c r="L8" s="2">
        <f>SUMIF(C:C,"AFC",G:G)/COUNTIFS(C:C,"AFC",E:E,1)*100</f>
        <v>67.570086346765351</v>
      </c>
    </row>
    <row r="9" spans="1:12" x14ac:dyDescent="0.3">
      <c r="A9">
        <v>8</v>
      </c>
      <c r="B9" t="s">
        <v>21</v>
      </c>
      <c r="C9" t="s">
        <v>4</v>
      </c>
      <c r="D9">
        <v>713</v>
      </c>
      <c r="E9">
        <f t="shared" si="0"/>
        <v>1</v>
      </c>
      <c r="F9" s="2" t="str">
        <f t="shared" si="1"/>
        <v/>
      </c>
      <c r="G9" s="2">
        <f>IF(E9=1,SUM(F$3:$F8),"")</f>
        <v>0.25</v>
      </c>
      <c r="I9" t="s">
        <v>13</v>
      </c>
    </row>
    <row r="10" spans="1:12" x14ac:dyDescent="0.3">
      <c r="A10">
        <v>9</v>
      </c>
      <c r="B10" t="s">
        <v>18</v>
      </c>
      <c r="C10" t="s">
        <v>4</v>
      </c>
      <c r="D10">
        <v>703</v>
      </c>
      <c r="E10">
        <f t="shared" si="0"/>
        <v>0</v>
      </c>
      <c r="F10" s="2">
        <f t="shared" si="1"/>
        <v>0.1111111111111111</v>
      </c>
      <c r="G10" s="2" t="str">
        <f>IF(E10=1,SUM(F$3:$F9),"")</f>
        <v/>
      </c>
      <c r="I10" t="s">
        <v>16</v>
      </c>
    </row>
    <row r="11" spans="1:12" x14ac:dyDescent="0.3">
      <c r="A11">
        <v>10</v>
      </c>
      <c r="B11" t="s">
        <v>17</v>
      </c>
      <c r="C11" t="s">
        <v>4</v>
      </c>
      <c r="D11">
        <v>695</v>
      </c>
      <c r="E11">
        <f t="shared" si="0"/>
        <v>1</v>
      </c>
      <c r="F11" s="2" t="str">
        <f t="shared" si="1"/>
        <v/>
      </c>
      <c r="G11" s="2">
        <f>IF(E11=1,SUM(F$3:$F10),"")</f>
        <v>0.3611111111111111</v>
      </c>
      <c r="I11" t="s">
        <v>40</v>
      </c>
    </row>
    <row r="12" spans="1:12" x14ac:dyDescent="0.3">
      <c r="A12">
        <v>11</v>
      </c>
      <c r="B12" t="s">
        <v>27</v>
      </c>
      <c r="C12" t="s">
        <v>4</v>
      </c>
      <c r="D12">
        <v>694</v>
      </c>
      <c r="E12">
        <f t="shared" si="0"/>
        <v>1</v>
      </c>
      <c r="F12" s="2" t="str">
        <f t="shared" si="1"/>
        <v/>
      </c>
      <c r="G12" s="2">
        <f>IF(E12=1,SUM(F$3:$F11),"")</f>
        <v>0.3611111111111111</v>
      </c>
      <c r="I12" t="s">
        <v>24</v>
      </c>
    </row>
    <row r="13" spans="1:12" x14ac:dyDescent="0.3">
      <c r="A13">
        <v>12</v>
      </c>
      <c r="B13" t="s">
        <v>79</v>
      </c>
      <c r="C13" t="s">
        <v>7</v>
      </c>
      <c r="D13">
        <v>690</v>
      </c>
      <c r="E13">
        <f t="shared" si="0"/>
        <v>1</v>
      </c>
      <c r="F13" s="2" t="str">
        <f t="shared" si="1"/>
        <v/>
      </c>
      <c r="G13" s="2">
        <f>IF(E13=1,SUM(F$3:$F12),"")</f>
        <v>0.3611111111111111</v>
      </c>
      <c r="I13" t="s">
        <v>21</v>
      </c>
    </row>
    <row r="14" spans="1:12" x14ac:dyDescent="0.3">
      <c r="A14">
        <v>13</v>
      </c>
      <c r="B14" t="s">
        <v>14</v>
      </c>
      <c r="C14" t="s">
        <v>4</v>
      </c>
      <c r="D14">
        <v>675</v>
      </c>
      <c r="E14">
        <f t="shared" si="0"/>
        <v>0</v>
      </c>
      <c r="F14" s="2">
        <f t="shared" si="1"/>
        <v>7.6923076923076927E-2</v>
      </c>
      <c r="G14" s="2" t="str">
        <f>IF(E14=1,SUM(F$3:$F13),"")</f>
        <v/>
      </c>
      <c r="I14" t="s">
        <v>56</v>
      </c>
    </row>
    <row r="15" spans="1:12" x14ac:dyDescent="0.3">
      <c r="A15">
        <v>14</v>
      </c>
      <c r="B15" t="s">
        <v>83</v>
      </c>
      <c r="C15" t="s">
        <v>4</v>
      </c>
      <c r="D15">
        <v>674</v>
      </c>
      <c r="E15">
        <f t="shared" si="0"/>
        <v>1</v>
      </c>
      <c r="F15" s="2" t="str">
        <f t="shared" si="1"/>
        <v/>
      </c>
      <c r="G15" s="2">
        <f>IF(E15=1,SUM(F$3:$F14),"")</f>
        <v>0.43803418803418803</v>
      </c>
      <c r="I15" t="s">
        <v>10</v>
      </c>
    </row>
    <row r="16" spans="1:12" x14ac:dyDescent="0.3">
      <c r="A16">
        <v>15</v>
      </c>
      <c r="B16" t="s">
        <v>81</v>
      </c>
      <c r="C16" t="s">
        <v>4</v>
      </c>
      <c r="D16">
        <v>674</v>
      </c>
      <c r="E16">
        <f t="shared" si="0"/>
        <v>0</v>
      </c>
      <c r="F16" s="2">
        <f t="shared" si="1"/>
        <v>6.6666666666666666E-2</v>
      </c>
      <c r="G16" s="2" t="str">
        <f>IF(E16=1,SUM(F$3:$F15),"")</f>
        <v/>
      </c>
      <c r="I16" t="s">
        <v>32</v>
      </c>
    </row>
    <row r="17" spans="1:9" x14ac:dyDescent="0.3">
      <c r="A17">
        <v>16</v>
      </c>
      <c r="B17" t="s">
        <v>33</v>
      </c>
      <c r="C17" t="s">
        <v>6</v>
      </c>
      <c r="D17">
        <v>672</v>
      </c>
      <c r="E17">
        <f t="shared" si="0"/>
        <v>1</v>
      </c>
      <c r="F17" s="2" t="str">
        <f t="shared" si="1"/>
        <v/>
      </c>
      <c r="G17" s="2">
        <f>IF(E17=1,SUM(F$3:$F16),"")</f>
        <v>0.50470085470085468</v>
      </c>
      <c r="I17" t="s">
        <v>23</v>
      </c>
    </row>
    <row r="18" spans="1:9" x14ac:dyDescent="0.3">
      <c r="A18">
        <v>17</v>
      </c>
      <c r="B18" t="s">
        <v>64</v>
      </c>
      <c r="C18" t="s">
        <v>5</v>
      </c>
      <c r="D18">
        <v>671</v>
      </c>
      <c r="E18">
        <f t="shared" si="0"/>
        <v>1</v>
      </c>
      <c r="F18" s="2" t="str">
        <f t="shared" si="1"/>
        <v/>
      </c>
      <c r="G18" s="2">
        <f>IF(E18=1,SUM(F$3:$F17),"")</f>
        <v>0.50470085470085468</v>
      </c>
      <c r="I18" t="s">
        <v>88</v>
      </c>
    </row>
    <row r="19" spans="1:9" x14ac:dyDescent="0.3">
      <c r="A19">
        <v>18</v>
      </c>
      <c r="B19" t="s">
        <v>24</v>
      </c>
      <c r="C19" t="s">
        <v>4</v>
      </c>
      <c r="D19">
        <v>665</v>
      </c>
      <c r="E19">
        <f t="shared" si="0"/>
        <v>1</v>
      </c>
      <c r="F19" s="2" t="str">
        <f t="shared" si="1"/>
        <v/>
      </c>
      <c r="G19" s="2">
        <f>IF(E19=1,SUM(F$3:$F18),"")</f>
        <v>0.50470085470085468</v>
      </c>
      <c r="I19" t="s">
        <v>20</v>
      </c>
    </row>
    <row r="20" spans="1:9" x14ac:dyDescent="0.3">
      <c r="A20">
        <v>19</v>
      </c>
      <c r="B20" t="s">
        <v>23</v>
      </c>
      <c r="C20" t="s">
        <v>4</v>
      </c>
      <c r="D20">
        <v>657</v>
      </c>
      <c r="E20">
        <f t="shared" si="0"/>
        <v>1</v>
      </c>
      <c r="F20" s="2" t="str">
        <f t="shared" si="1"/>
        <v/>
      </c>
      <c r="G20" s="2">
        <f>IF(E20=1,SUM(F$3:$F19),"")</f>
        <v>0.50470085470085468</v>
      </c>
      <c r="I20" t="s">
        <v>27</v>
      </c>
    </row>
    <row r="21" spans="1:9" x14ac:dyDescent="0.3">
      <c r="A21">
        <v>20</v>
      </c>
      <c r="B21" t="s">
        <v>88</v>
      </c>
      <c r="C21" t="s">
        <v>4</v>
      </c>
      <c r="D21">
        <v>655</v>
      </c>
      <c r="E21">
        <f t="shared" si="0"/>
        <v>1</v>
      </c>
      <c r="F21" s="2" t="str">
        <f t="shared" si="1"/>
        <v/>
      </c>
      <c r="G21" s="2">
        <f>IF(E21=1,SUM(F$3:$F20),"")</f>
        <v>0.50470085470085468</v>
      </c>
      <c r="I21" t="s">
        <v>63</v>
      </c>
    </row>
    <row r="22" spans="1:9" x14ac:dyDescent="0.3">
      <c r="A22">
        <v>21</v>
      </c>
      <c r="B22" t="s">
        <v>129</v>
      </c>
      <c r="C22" t="s">
        <v>4</v>
      </c>
      <c r="D22">
        <v>654</v>
      </c>
      <c r="E22">
        <f t="shared" si="0"/>
        <v>1</v>
      </c>
      <c r="F22" s="2" t="str">
        <f t="shared" si="1"/>
        <v/>
      </c>
      <c r="G22" s="2">
        <f>IF(E22=1,SUM(F$3:$F21),"")</f>
        <v>0.50470085470085468</v>
      </c>
      <c r="I22" t="s">
        <v>79</v>
      </c>
    </row>
    <row r="23" spans="1:9" x14ac:dyDescent="0.3">
      <c r="A23">
        <v>22</v>
      </c>
      <c r="B23" t="s">
        <v>36</v>
      </c>
      <c r="C23" t="s">
        <v>4</v>
      </c>
      <c r="D23">
        <v>653</v>
      </c>
      <c r="E23">
        <f t="shared" si="0"/>
        <v>1</v>
      </c>
      <c r="F23" s="2" t="str">
        <f t="shared" si="1"/>
        <v/>
      </c>
      <c r="G23" s="2">
        <f>IF(E23=1,SUM(F$3:$F22),"")</f>
        <v>0.50470085470085468</v>
      </c>
      <c r="I23" t="s">
        <v>42</v>
      </c>
    </row>
    <row r="24" spans="1:9" x14ac:dyDescent="0.3">
      <c r="A24">
        <v>23</v>
      </c>
      <c r="B24" t="s">
        <v>29</v>
      </c>
      <c r="C24" t="s">
        <v>5</v>
      </c>
      <c r="D24">
        <v>652</v>
      </c>
      <c r="E24">
        <f t="shared" si="0"/>
        <v>1</v>
      </c>
      <c r="F24" s="2" t="str">
        <f t="shared" si="1"/>
        <v/>
      </c>
      <c r="G24" s="2">
        <f>IF(E24=1,SUM(F$3:$F23),"")</f>
        <v>0.50470085470085468</v>
      </c>
      <c r="I24" t="s">
        <v>47</v>
      </c>
    </row>
    <row r="25" spans="1:9" x14ac:dyDescent="0.3">
      <c r="A25">
        <v>24</v>
      </c>
      <c r="B25" t="s">
        <v>101</v>
      </c>
      <c r="C25" t="s">
        <v>4</v>
      </c>
      <c r="D25">
        <v>649</v>
      </c>
      <c r="E25">
        <f t="shared" si="0"/>
        <v>1</v>
      </c>
      <c r="F25" s="2" t="str">
        <f t="shared" si="1"/>
        <v/>
      </c>
      <c r="G25" s="2">
        <f>IF(E25=1,SUM(F$3:$F24),"")</f>
        <v>0.50470085470085468</v>
      </c>
      <c r="I25" t="s">
        <v>64</v>
      </c>
    </row>
    <row r="26" spans="1:9" x14ac:dyDescent="0.3">
      <c r="A26">
        <v>25</v>
      </c>
      <c r="B26" t="s">
        <v>55</v>
      </c>
      <c r="C26" t="s">
        <v>7</v>
      </c>
      <c r="D26">
        <v>647</v>
      </c>
      <c r="E26">
        <f t="shared" si="0"/>
        <v>0</v>
      </c>
      <c r="F26" s="2">
        <f t="shared" si="1"/>
        <v>0.04</v>
      </c>
      <c r="G26" s="2" t="str">
        <f>IF(E26=1,SUM(F$3:$F25),"")</f>
        <v/>
      </c>
      <c r="I26" t="s">
        <v>28</v>
      </c>
    </row>
    <row r="27" spans="1:9" x14ac:dyDescent="0.3">
      <c r="A27">
        <v>26</v>
      </c>
      <c r="B27" t="s">
        <v>13</v>
      </c>
      <c r="C27" t="s">
        <v>6</v>
      </c>
      <c r="D27">
        <v>644</v>
      </c>
      <c r="E27">
        <f t="shared" si="0"/>
        <v>1</v>
      </c>
      <c r="F27" s="2" t="str">
        <f t="shared" si="1"/>
        <v/>
      </c>
      <c r="G27" s="2">
        <f>IF(E27=1,SUM(F$3:$F26),"")</f>
        <v>0.54470085470085472</v>
      </c>
      <c r="I27" t="s">
        <v>36</v>
      </c>
    </row>
    <row r="28" spans="1:9" x14ac:dyDescent="0.3">
      <c r="A28">
        <v>27</v>
      </c>
      <c r="B28" t="s">
        <v>10</v>
      </c>
      <c r="C28" t="s">
        <v>4</v>
      </c>
      <c r="D28">
        <v>644</v>
      </c>
      <c r="E28">
        <f t="shared" si="0"/>
        <v>1</v>
      </c>
      <c r="F28" s="2" t="str">
        <f t="shared" si="1"/>
        <v/>
      </c>
      <c r="G28" s="2">
        <f>IF(E28=1,SUM(F$3:$F27),"")</f>
        <v>0.54470085470085472</v>
      </c>
      <c r="I28" t="s">
        <v>17</v>
      </c>
    </row>
    <row r="29" spans="1:9" x14ac:dyDescent="0.3">
      <c r="A29">
        <v>28</v>
      </c>
      <c r="B29" t="s">
        <v>56</v>
      </c>
      <c r="C29" t="s">
        <v>7</v>
      </c>
      <c r="D29">
        <v>643</v>
      </c>
      <c r="E29">
        <f t="shared" si="0"/>
        <v>1</v>
      </c>
      <c r="F29" s="2" t="str">
        <f t="shared" si="1"/>
        <v/>
      </c>
      <c r="G29" s="2">
        <f>IF(E29=1,SUM(F$3:$F28),"")</f>
        <v>0.54470085470085472</v>
      </c>
      <c r="I29" t="s">
        <v>101</v>
      </c>
    </row>
    <row r="30" spans="1:9" x14ac:dyDescent="0.3">
      <c r="A30">
        <v>29</v>
      </c>
      <c r="B30" t="s">
        <v>62</v>
      </c>
      <c r="C30" t="s">
        <v>9</v>
      </c>
      <c r="D30">
        <v>635</v>
      </c>
      <c r="E30">
        <f t="shared" si="0"/>
        <v>0</v>
      </c>
      <c r="F30" s="2">
        <f t="shared" si="1"/>
        <v>3.4482758620689655E-2</v>
      </c>
      <c r="G30" s="2" t="str">
        <f>IF(E30=1,SUM(F$3:$F29),"")</f>
        <v/>
      </c>
      <c r="I30" t="s">
        <v>129</v>
      </c>
    </row>
    <row r="31" spans="1:9" x14ac:dyDescent="0.3">
      <c r="A31">
        <v>30</v>
      </c>
      <c r="B31" t="s">
        <v>38</v>
      </c>
      <c r="C31" t="s">
        <v>6</v>
      </c>
      <c r="D31">
        <v>635</v>
      </c>
      <c r="E31">
        <f t="shared" si="0"/>
        <v>1</v>
      </c>
      <c r="F31" s="2" t="str">
        <f t="shared" si="1"/>
        <v/>
      </c>
      <c r="G31" s="2">
        <f>IF(E31=1,SUM(F$3:$F30),"")</f>
        <v>0.57918361332154433</v>
      </c>
      <c r="I31" t="s">
        <v>19</v>
      </c>
    </row>
    <row r="32" spans="1:9" x14ac:dyDescent="0.3">
      <c r="A32">
        <v>31</v>
      </c>
      <c r="B32" t="s">
        <v>57</v>
      </c>
      <c r="C32" t="s">
        <v>9</v>
      </c>
      <c r="D32">
        <v>634</v>
      </c>
      <c r="E32">
        <f t="shared" si="0"/>
        <v>1</v>
      </c>
      <c r="F32" s="2" t="str">
        <f t="shared" si="1"/>
        <v/>
      </c>
      <c r="G32" s="2">
        <f>IF(E32=1,SUM(F$3:$F31),"")</f>
        <v>0.57918361332154433</v>
      </c>
      <c r="I32" t="s">
        <v>83</v>
      </c>
    </row>
    <row r="33" spans="1:9" x14ac:dyDescent="0.3">
      <c r="A33">
        <v>32</v>
      </c>
      <c r="B33" t="s">
        <v>22</v>
      </c>
      <c r="C33" t="s">
        <v>4</v>
      </c>
      <c r="D33">
        <v>631</v>
      </c>
      <c r="E33">
        <f t="shared" si="0"/>
        <v>0</v>
      </c>
      <c r="F33" s="2">
        <f t="shared" si="1"/>
        <v>3.125E-2</v>
      </c>
      <c r="G33" s="2" t="str">
        <f>IF(E33=1,SUM(F$3:$F32),"")</f>
        <v/>
      </c>
      <c r="I33" t="s">
        <v>29</v>
      </c>
    </row>
    <row r="34" spans="1:9" x14ac:dyDescent="0.3">
      <c r="A34">
        <v>33</v>
      </c>
      <c r="B34" t="s">
        <v>42</v>
      </c>
      <c r="C34" t="s">
        <v>9</v>
      </c>
      <c r="D34">
        <v>627</v>
      </c>
      <c r="E34">
        <f t="shared" si="0"/>
        <v>1</v>
      </c>
      <c r="F34" s="2" t="str">
        <f t="shared" si="1"/>
        <v/>
      </c>
      <c r="G34" s="2">
        <f>IF(E34=1,SUM(F$3:$F33),"")</f>
        <v>0.61043361332154433</v>
      </c>
    </row>
    <row r="35" spans="1:9" x14ac:dyDescent="0.3">
      <c r="A35">
        <v>34</v>
      </c>
      <c r="B35" t="s">
        <v>91</v>
      </c>
      <c r="C35" t="s">
        <v>7</v>
      </c>
      <c r="D35">
        <v>624</v>
      </c>
      <c r="E35">
        <f t="shared" si="0"/>
        <v>0</v>
      </c>
      <c r="F35" s="2">
        <f t="shared" si="1"/>
        <v>2.9411764705882353E-2</v>
      </c>
      <c r="G35" s="2" t="str">
        <f>IF(E35=1,SUM(F$3:$F34),"")</f>
        <v/>
      </c>
    </row>
    <row r="36" spans="1:9" x14ac:dyDescent="0.3">
      <c r="A36">
        <v>35</v>
      </c>
      <c r="B36" t="s">
        <v>47</v>
      </c>
      <c r="C36" t="s">
        <v>5</v>
      </c>
      <c r="D36">
        <v>624</v>
      </c>
      <c r="E36">
        <f t="shared" si="0"/>
        <v>1</v>
      </c>
      <c r="F36" s="2" t="str">
        <f t="shared" si="1"/>
        <v/>
      </c>
      <c r="G36" s="2">
        <f>IF(E36=1,SUM(F$3:$F35),"")</f>
        <v>0.63984537802742669</v>
      </c>
    </row>
    <row r="37" spans="1:9" x14ac:dyDescent="0.3">
      <c r="A37">
        <v>36</v>
      </c>
      <c r="B37" t="s">
        <v>89</v>
      </c>
      <c r="C37" t="s">
        <v>6</v>
      </c>
      <c r="D37">
        <v>623</v>
      </c>
      <c r="E37">
        <f t="shared" si="0"/>
        <v>1</v>
      </c>
      <c r="F37" s="2" t="str">
        <f t="shared" si="1"/>
        <v/>
      </c>
      <c r="G37" s="2">
        <f>IF(E37=1,SUM(F$3:$F36),"")</f>
        <v>0.63984537802742669</v>
      </c>
    </row>
    <row r="38" spans="1:9" x14ac:dyDescent="0.3">
      <c r="A38">
        <v>37</v>
      </c>
      <c r="B38" t="s">
        <v>40</v>
      </c>
      <c r="C38" t="s">
        <v>4</v>
      </c>
      <c r="D38">
        <v>615</v>
      </c>
      <c r="E38">
        <f t="shared" si="0"/>
        <v>1</v>
      </c>
      <c r="F38" s="2" t="str">
        <f t="shared" si="1"/>
        <v/>
      </c>
      <c r="G38" s="2">
        <f>IF(E38=1,SUM(F$3:$F37),"")</f>
        <v>0.63984537802742669</v>
      </c>
    </row>
    <row r="39" spans="1:9" x14ac:dyDescent="0.3">
      <c r="A39">
        <v>38</v>
      </c>
      <c r="B39" t="s">
        <v>37</v>
      </c>
      <c r="C39" t="s">
        <v>6</v>
      </c>
      <c r="D39">
        <v>612</v>
      </c>
      <c r="E39">
        <f t="shared" si="0"/>
        <v>0</v>
      </c>
      <c r="F39" s="2">
        <f t="shared" si="1"/>
        <v>2.6315789473684209E-2</v>
      </c>
      <c r="G39" s="2" t="str">
        <f>IF(E39=1,SUM(F$3:$F38),"")</f>
        <v/>
      </c>
    </row>
    <row r="40" spans="1:9" x14ac:dyDescent="0.3">
      <c r="A40">
        <v>39</v>
      </c>
      <c r="B40" t="s">
        <v>45</v>
      </c>
      <c r="C40" t="s">
        <v>9</v>
      </c>
      <c r="D40">
        <v>603</v>
      </c>
      <c r="E40">
        <f t="shared" si="0"/>
        <v>1</v>
      </c>
      <c r="F40" s="2" t="str">
        <f t="shared" si="1"/>
        <v/>
      </c>
      <c r="G40" s="2">
        <f>IF(E40=1,SUM(F$3:$F39),"")</f>
        <v>0.66616116750111087</v>
      </c>
    </row>
    <row r="41" spans="1:9" x14ac:dyDescent="0.3">
      <c r="A41">
        <v>40</v>
      </c>
      <c r="B41" t="s">
        <v>51</v>
      </c>
      <c r="C41" t="s">
        <v>4</v>
      </c>
      <c r="D41">
        <v>600</v>
      </c>
      <c r="E41">
        <f t="shared" si="0"/>
        <v>0</v>
      </c>
      <c r="F41" s="2">
        <f t="shared" si="1"/>
        <v>2.5000000000000001E-2</v>
      </c>
      <c r="G41" s="2" t="str">
        <f>IF(E41=1,SUM(F$3:$F40),"")</f>
        <v/>
      </c>
    </row>
    <row r="42" spans="1:9" x14ac:dyDescent="0.3">
      <c r="A42">
        <v>41</v>
      </c>
      <c r="B42" t="s">
        <v>60</v>
      </c>
      <c r="C42" t="s">
        <v>6</v>
      </c>
      <c r="D42">
        <v>599</v>
      </c>
      <c r="E42">
        <f t="shared" si="0"/>
        <v>1</v>
      </c>
      <c r="F42" s="2" t="str">
        <f t="shared" si="1"/>
        <v/>
      </c>
      <c r="G42" s="2">
        <f>IF(E42=1,SUM(F$3:$F41),"")</f>
        <v>0.6911611675011109</v>
      </c>
    </row>
    <row r="43" spans="1:9" x14ac:dyDescent="0.3">
      <c r="A43">
        <v>42</v>
      </c>
      <c r="B43" t="s">
        <v>34</v>
      </c>
      <c r="C43" t="s">
        <v>6</v>
      </c>
      <c r="D43">
        <v>598</v>
      </c>
      <c r="E43">
        <f t="shared" si="0"/>
        <v>0</v>
      </c>
      <c r="F43" s="2">
        <f t="shared" si="1"/>
        <v>2.3809523809523808E-2</v>
      </c>
      <c r="G43" s="2" t="str">
        <f>IF(E43=1,SUM(F$3:$F42),"")</f>
        <v/>
      </c>
    </row>
    <row r="44" spans="1:9" x14ac:dyDescent="0.3">
      <c r="A44">
        <v>43</v>
      </c>
      <c r="B44" t="s">
        <v>94</v>
      </c>
      <c r="C44" t="s">
        <v>4</v>
      </c>
      <c r="D44">
        <v>593</v>
      </c>
      <c r="E44">
        <f t="shared" si="0"/>
        <v>0</v>
      </c>
      <c r="F44" s="2">
        <f t="shared" si="1"/>
        <v>2.3255813953488372E-2</v>
      </c>
      <c r="G44" s="2" t="str">
        <f>IF(E44=1,SUM(F$3:$F43),"")</f>
        <v/>
      </c>
    </row>
    <row r="45" spans="1:9" x14ac:dyDescent="0.3">
      <c r="A45">
        <v>44</v>
      </c>
      <c r="B45" t="s">
        <v>48</v>
      </c>
      <c r="C45" t="s">
        <v>5</v>
      </c>
      <c r="D45">
        <v>590</v>
      </c>
      <c r="E45">
        <f t="shared" si="0"/>
        <v>0</v>
      </c>
      <c r="F45" s="2">
        <f t="shared" si="1"/>
        <v>2.2727272727272728E-2</v>
      </c>
      <c r="G45" s="2" t="str">
        <f>IF(E45=1,SUM(F$3:$F44),"")</f>
        <v/>
      </c>
    </row>
    <row r="46" spans="1:9" x14ac:dyDescent="0.3">
      <c r="A46">
        <v>45</v>
      </c>
      <c r="B46" t="s">
        <v>31</v>
      </c>
      <c r="C46" t="s">
        <v>6</v>
      </c>
      <c r="D46">
        <v>580</v>
      </c>
      <c r="E46">
        <f t="shared" si="0"/>
        <v>0</v>
      </c>
      <c r="F46" s="2">
        <f t="shared" si="1"/>
        <v>2.2222222222222223E-2</v>
      </c>
      <c r="G46" s="2" t="str">
        <f>IF(E46=1,SUM(F$3:$F45),"")</f>
        <v/>
      </c>
    </row>
    <row r="47" spans="1:9" x14ac:dyDescent="0.3">
      <c r="A47">
        <v>46</v>
      </c>
      <c r="B47" t="s">
        <v>70</v>
      </c>
      <c r="C47" t="s">
        <v>5</v>
      </c>
      <c r="D47">
        <v>578</v>
      </c>
      <c r="E47">
        <f t="shared" si="0"/>
        <v>0</v>
      </c>
      <c r="F47" s="2">
        <f t="shared" si="1"/>
        <v>2.1739130434782608E-2</v>
      </c>
      <c r="G47" s="2" t="str">
        <f>IF(E47=1,SUM(F$3:$F46),"")</f>
        <v/>
      </c>
    </row>
    <row r="48" spans="1:9" x14ac:dyDescent="0.3">
      <c r="A48">
        <v>47</v>
      </c>
      <c r="B48" t="s">
        <v>52</v>
      </c>
      <c r="C48" t="s">
        <v>9</v>
      </c>
      <c r="D48">
        <v>575</v>
      </c>
      <c r="E48">
        <f t="shared" si="0"/>
        <v>0</v>
      </c>
      <c r="F48" s="2">
        <f t="shared" si="1"/>
        <v>2.1276595744680851E-2</v>
      </c>
      <c r="G48" s="2" t="str">
        <f>IF(E48=1,SUM(F$3:$F47),"")</f>
        <v/>
      </c>
    </row>
    <row r="49" spans="1:7" x14ac:dyDescent="0.3">
      <c r="A49">
        <v>48</v>
      </c>
      <c r="B49" t="s">
        <v>50</v>
      </c>
      <c r="C49" t="s">
        <v>4</v>
      </c>
      <c r="D49">
        <v>574</v>
      </c>
      <c r="E49">
        <f t="shared" si="0"/>
        <v>0</v>
      </c>
      <c r="F49" s="2">
        <f t="shared" si="1"/>
        <v>2.0833333333333332E-2</v>
      </c>
      <c r="G49" s="2" t="str">
        <f>IF(E49=1,SUM(F$3:$F48),"")</f>
        <v/>
      </c>
    </row>
    <row r="50" spans="1:7" x14ac:dyDescent="0.3">
      <c r="A50">
        <v>49</v>
      </c>
      <c r="B50" t="s">
        <v>63</v>
      </c>
      <c r="C50" t="s">
        <v>9</v>
      </c>
      <c r="D50">
        <v>566</v>
      </c>
      <c r="E50">
        <f t="shared" si="0"/>
        <v>1</v>
      </c>
      <c r="F50" s="2" t="str">
        <f t="shared" si="1"/>
        <v/>
      </c>
      <c r="G50" s="2">
        <f>IF(E50=1,SUM(F$3:$F49),"")</f>
        <v>0.84702505972641495</v>
      </c>
    </row>
    <row r="51" spans="1:7" x14ac:dyDescent="0.3">
      <c r="A51">
        <v>50</v>
      </c>
      <c r="B51" t="s">
        <v>58</v>
      </c>
      <c r="C51" t="s">
        <v>4</v>
      </c>
      <c r="D51">
        <v>563</v>
      </c>
      <c r="E51">
        <f t="shared" si="0"/>
        <v>0</v>
      </c>
      <c r="F51" s="2">
        <f t="shared" si="1"/>
        <v>0.02</v>
      </c>
      <c r="G51" s="2" t="str">
        <f>IF(E51=1,SUM(F$3:$F50),"")</f>
        <v/>
      </c>
    </row>
    <row r="52" spans="1:7" x14ac:dyDescent="0.3">
      <c r="A52">
        <v>51</v>
      </c>
      <c r="B52" t="s">
        <v>35</v>
      </c>
      <c r="C52" t="s">
        <v>6</v>
      </c>
      <c r="D52">
        <v>558</v>
      </c>
      <c r="E52">
        <f t="shared" si="0"/>
        <v>0</v>
      </c>
      <c r="F52" s="2">
        <f t="shared" si="1"/>
        <v>1.9607843137254902E-2</v>
      </c>
      <c r="G52" s="2" t="str">
        <f>IF(E52=1,SUM(F$3:$F51),"")</f>
        <v/>
      </c>
    </row>
    <row r="53" spans="1:7" x14ac:dyDescent="0.3">
      <c r="A53">
        <v>52</v>
      </c>
      <c r="B53" t="s">
        <v>39</v>
      </c>
      <c r="C53" t="s">
        <v>4</v>
      </c>
      <c r="D53">
        <v>558</v>
      </c>
      <c r="E53">
        <f t="shared" si="0"/>
        <v>0</v>
      </c>
      <c r="F53" s="2">
        <f t="shared" si="1"/>
        <v>1.9230769230769232E-2</v>
      </c>
      <c r="G53" s="2" t="str">
        <f>IF(E53=1,SUM(F$3:$F52),"")</f>
        <v/>
      </c>
    </row>
    <row r="54" spans="1:7" x14ac:dyDescent="0.3">
      <c r="A54">
        <v>53</v>
      </c>
      <c r="B54" t="s">
        <v>15</v>
      </c>
      <c r="C54" t="s">
        <v>4</v>
      </c>
      <c r="D54">
        <v>557</v>
      </c>
      <c r="E54">
        <f t="shared" si="0"/>
        <v>0</v>
      </c>
      <c r="F54" s="2">
        <f t="shared" si="1"/>
        <v>1.8867924528301886E-2</v>
      </c>
      <c r="G54" s="2" t="str">
        <f>IF(E54=1,SUM(F$3:$F53),"")</f>
        <v/>
      </c>
    </row>
    <row r="55" spans="1:7" x14ac:dyDescent="0.3">
      <c r="A55">
        <v>54</v>
      </c>
      <c r="B55" t="s">
        <v>41</v>
      </c>
      <c r="C55" t="s">
        <v>4</v>
      </c>
      <c r="D55">
        <v>557</v>
      </c>
      <c r="E55">
        <f t="shared" si="0"/>
        <v>0</v>
      </c>
      <c r="F55" s="2">
        <f t="shared" si="1"/>
        <v>1.8518518518518517E-2</v>
      </c>
      <c r="G55" s="2" t="str">
        <f>IF(E55=1,SUM(F$3:$F54),"")</f>
        <v/>
      </c>
    </row>
    <row r="56" spans="1:7" x14ac:dyDescent="0.3">
      <c r="A56">
        <v>55</v>
      </c>
      <c r="B56" t="s">
        <v>46</v>
      </c>
      <c r="C56" t="s">
        <v>4</v>
      </c>
      <c r="D56">
        <v>553</v>
      </c>
      <c r="E56">
        <f t="shared" si="0"/>
        <v>0</v>
      </c>
      <c r="F56" s="2">
        <f t="shared" si="1"/>
        <v>1.8181818181818181E-2</v>
      </c>
      <c r="G56" s="2" t="str">
        <f>IF(E56=1,SUM(F$3:$F55),"")</f>
        <v/>
      </c>
    </row>
    <row r="57" spans="1:7" x14ac:dyDescent="0.3">
      <c r="A57">
        <v>56</v>
      </c>
      <c r="B57" t="s">
        <v>73</v>
      </c>
      <c r="C57" t="s">
        <v>7</v>
      </c>
      <c r="D57">
        <v>549</v>
      </c>
      <c r="E57">
        <f t="shared" si="0"/>
        <v>0</v>
      </c>
      <c r="F57" s="2">
        <f t="shared" si="1"/>
        <v>1.7857142857142856E-2</v>
      </c>
      <c r="G57" s="2" t="str">
        <f>IF(E57=1,SUM(F$3:$F56),"")</f>
        <v/>
      </c>
    </row>
    <row r="58" spans="1:7" x14ac:dyDescent="0.3">
      <c r="A58">
        <v>57</v>
      </c>
      <c r="B58" t="s">
        <v>93</v>
      </c>
      <c r="C58" t="s">
        <v>6</v>
      </c>
      <c r="D58">
        <v>545</v>
      </c>
      <c r="E58">
        <f t="shared" si="0"/>
        <v>0</v>
      </c>
      <c r="F58" s="2">
        <f t="shared" si="1"/>
        <v>1.7543859649122806E-2</v>
      </c>
      <c r="G58" s="2" t="str">
        <f>IF(E58=1,SUM(F$3:$F57),"")</f>
        <v/>
      </c>
    </row>
    <row r="59" spans="1:7" x14ac:dyDescent="0.3">
      <c r="A59">
        <v>58</v>
      </c>
      <c r="B59" t="s">
        <v>92</v>
      </c>
      <c r="C59" t="s">
        <v>4</v>
      </c>
      <c r="D59">
        <v>545</v>
      </c>
      <c r="E59">
        <f t="shared" si="0"/>
        <v>0</v>
      </c>
      <c r="F59" s="2">
        <f t="shared" si="1"/>
        <v>1.7241379310344827E-2</v>
      </c>
      <c r="G59" s="2" t="str">
        <f>IF(E59=1,SUM(F$3:$F58),"")</f>
        <v/>
      </c>
    </row>
    <row r="60" spans="1:7" x14ac:dyDescent="0.3">
      <c r="A60">
        <v>59</v>
      </c>
      <c r="B60" t="s">
        <v>78</v>
      </c>
      <c r="C60" t="s">
        <v>9</v>
      </c>
      <c r="D60">
        <v>544</v>
      </c>
      <c r="E60">
        <f t="shared" si="0"/>
        <v>0</v>
      </c>
      <c r="F60" s="2">
        <f t="shared" si="1"/>
        <v>1.6949152542372881E-2</v>
      </c>
      <c r="G60" s="2" t="str">
        <f>IF(E60=1,SUM(F$3:$F59),"")</f>
        <v/>
      </c>
    </row>
    <row r="61" spans="1:7" x14ac:dyDescent="0.3">
      <c r="A61">
        <v>60</v>
      </c>
      <c r="B61" t="s">
        <v>44</v>
      </c>
      <c r="C61" t="s">
        <v>4</v>
      </c>
      <c r="D61">
        <v>543</v>
      </c>
      <c r="E61">
        <f t="shared" si="0"/>
        <v>0</v>
      </c>
      <c r="F61" s="2">
        <f t="shared" si="1"/>
        <v>1.6666666666666666E-2</v>
      </c>
      <c r="G61" s="2" t="str">
        <f>IF(E61=1,SUM(F$3:$F60),"")</f>
        <v/>
      </c>
    </row>
    <row r="62" spans="1:7" x14ac:dyDescent="0.3">
      <c r="A62">
        <v>61</v>
      </c>
      <c r="B62" t="s">
        <v>99</v>
      </c>
      <c r="C62" t="s">
        <v>7</v>
      </c>
      <c r="D62">
        <v>538</v>
      </c>
      <c r="E62">
        <f t="shared" si="0"/>
        <v>0</v>
      </c>
      <c r="F62" s="2">
        <f t="shared" si="1"/>
        <v>1.6393442622950821E-2</v>
      </c>
      <c r="G62" s="2" t="str">
        <f>IF(E62=1,SUM(F$3:$F61),"")</f>
        <v/>
      </c>
    </row>
    <row r="63" spans="1:7" x14ac:dyDescent="0.3">
      <c r="A63">
        <v>62</v>
      </c>
      <c r="B63" t="s">
        <v>82</v>
      </c>
      <c r="C63" t="s">
        <v>9</v>
      </c>
      <c r="D63">
        <v>536</v>
      </c>
      <c r="E63">
        <f t="shared" si="0"/>
        <v>0</v>
      </c>
      <c r="F63" s="2">
        <f t="shared" si="1"/>
        <v>1.6129032258064516E-2</v>
      </c>
      <c r="G63" s="2" t="str">
        <f>IF(E63=1,SUM(F$3:$F62),"")</f>
        <v/>
      </c>
    </row>
    <row r="64" spans="1:7" x14ac:dyDescent="0.3">
      <c r="A64">
        <v>63</v>
      </c>
      <c r="B64" t="s">
        <v>25</v>
      </c>
      <c r="C64" t="s">
        <v>4</v>
      </c>
      <c r="D64">
        <v>531</v>
      </c>
      <c r="E64">
        <f t="shared" si="0"/>
        <v>0</v>
      </c>
      <c r="F64" s="2">
        <f t="shared" si="1"/>
        <v>1.5873015873015872E-2</v>
      </c>
      <c r="G64" s="2" t="str">
        <f>IF(E64=1,SUM(F$3:$F63),"")</f>
        <v/>
      </c>
    </row>
    <row r="65" spans="1:7" x14ac:dyDescent="0.3">
      <c r="A65">
        <v>64</v>
      </c>
      <c r="B65" t="s">
        <v>30</v>
      </c>
      <c r="C65" t="s">
        <v>6</v>
      </c>
      <c r="D65">
        <v>530</v>
      </c>
      <c r="E65">
        <f t="shared" si="0"/>
        <v>0</v>
      </c>
      <c r="F65" s="2">
        <f t="shared" si="1"/>
        <v>1.5625E-2</v>
      </c>
      <c r="G65" s="2" t="str">
        <f>IF(E65=1,SUM(F$3:$F64),"")</f>
        <v/>
      </c>
    </row>
    <row r="66" spans="1:7" x14ac:dyDescent="0.3">
      <c r="A66">
        <v>65</v>
      </c>
      <c r="B66" t="s">
        <v>49</v>
      </c>
      <c r="C66" t="s">
        <v>6</v>
      </c>
      <c r="D66">
        <v>527</v>
      </c>
      <c r="E66">
        <f t="shared" si="0"/>
        <v>0</v>
      </c>
      <c r="F66" s="2">
        <f t="shared" si="1"/>
        <v>1.5384615384615385E-2</v>
      </c>
      <c r="G66" s="2" t="str">
        <f>IF(E66=1,SUM(F$3:$F65),"")</f>
        <v/>
      </c>
    </row>
    <row r="67" spans="1:7" x14ac:dyDescent="0.3">
      <c r="A67">
        <v>66</v>
      </c>
      <c r="B67" t="s">
        <v>102</v>
      </c>
      <c r="C67" t="s">
        <v>9</v>
      </c>
      <c r="D67">
        <v>523</v>
      </c>
      <c r="E67">
        <f t="shared" ref="E67:E76" si="2">IF(COUNTIF($I$2:$I$33,B67)&gt;0,1,0)</f>
        <v>0</v>
      </c>
      <c r="F67" s="2">
        <f t="shared" ref="F67:F76" si="3">IF(E67=1,"",1/A67)</f>
        <v>1.5151515151515152E-2</v>
      </c>
      <c r="G67" s="2" t="str">
        <f>IF(E67=1,SUM(F$3:$F66),"")</f>
        <v/>
      </c>
    </row>
    <row r="68" spans="1:7" x14ac:dyDescent="0.3">
      <c r="A68">
        <v>67</v>
      </c>
      <c r="B68" t="s">
        <v>61</v>
      </c>
      <c r="C68" t="s">
        <v>4</v>
      </c>
      <c r="D68">
        <v>523</v>
      </c>
      <c r="E68">
        <f t="shared" si="2"/>
        <v>0</v>
      </c>
      <c r="F68" s="2">
        <f t="shared" si="3"/>
        <v>1.4925373134328358E-2</v>
      </c>
      <c r="G68" s="2" t="str">
        <f>IF(E68=1,SUM(F$3:$F67),"")</f>
        <v/>
      </c>
    </row>
    <row r="69" spans="1:7" x14ac:dyDescent="0.3">
      <c r="A69">
        <v>68</v>
      </c>
      <c r="B69" t="s">
        <v>98</v>
      </c>
      <c r="C69" t="s">
        <v>6</v>
      </c>
      <c r="D69">
        <v>518</v>
      </c>
      <c r="E69">
        <f t="shared" si="2"/>
        <v>0</v>
      </c>
      <c r="F69" s="2">
        <f t="shared" si="3"/>
        <v>1.4705882352941176E-2</v>
      </c>
      <c r="G69" s="2" t="str">
        <f>IF(E69=1,SUM(F$3:$F68),"")</f>
        <v/>
      </c>
    </row>
    <row r="70" spans="1:7" x14ac:dyDescent="0.3">
      <c r="A70">
        <v>69</v>
      </c>
      <c r="B70" t="s">
        <v>12</v>
      </c>
      <c r="C70" t="s">
        <v>5</v>
      </c>
      <c r="D70">
        <v>512</v>
      </c>
      <c r="E70">
        <f t="shared" si="2"/>
        <v>0</v>
      </c>
      <c r="F70" s="2">
        <f t="shared" si="3"/>
        <v>1.4492753623188406E-2</v>
      </c>
      <c r="G70" s="2" t="str">
        <f>IF(E70=1,SUM(F$3:$F69),"")</f>
        <v/>
      </c>
    </row>
    <row r="71" spans="1:7" x14ac:dyDescent="0.3">
      <c r="A71">
        <v>70</v>
      </c>
      <c r="B71" t="s">
        <v>68</v>
      </c>
      <c r="C71" t="s">
        <v>9</v>
      </c>
      <c r="D71">
        <v>509</v>
      </c>
      <c r="E71">
        <f t="shared" si="2"/>
        <v>0</v>
      </c>
      <c r="F71" s="2">
        <f t="shared" si="3"/>
        <v>1.4285714285714285E-2</v>
      </c>
      <c r="G71" s="2" t="str">
        <f>IF(E71=1,SUM(F$3:$F70),"")</f>
        <v/>
      </c>
    </row>
    <row r="72" spans="1:7" x14ac:dyDescent="0.3">
      <c r="A72">
        <v>71</v>
      </c>
      <c r="B72" t="s">
        <v>126</v>
      </c>
      <c r="C72" t="s">
        <v>4</v>
      </c>
      <c r="D72">
        <v>508</v>
      </c>
      <c r="E72">
        <f t="shared" si="2"/>
        <v>0</v>
      </c>
      <c r="F72" s="2">
        <f t="shared" si="3"/>
        <v>1.4084507042253521E-2</v>
      </c>
      <c r="G72" s="2" t="str">
        <f>IF(E72=1,SUM(F$3:$F71),"")</f>
        <v/>
      </c>
    </row>
    <row r="73" spans="1:7" x14ac:dyDescent="0.3">
      <c r="A73">
        <v>72</v>
      </c>
      <c r="B73" t="s">
        <v>72</v>
      </c>
      <c r="C73" t="s">
        <v>9</v>
      </c>
      <c r="D73">
        <v>507</v>
      </c>
      <c r="E73">
        <f t="shared" si="2"/>
        <v>0</v>
      </c>
      <c r="F73" s="2">
        <f t="shared" si="3"/>
        <v>1.3888888888888888E-2</v>
      </c>
      <c r="G73" s="2" t="str">
        <f>IF(E73=1,SUM(F$3:$F72),"")</f>
        <v/>
      </c>
    </row>
    <row r="74" spans="1:7" x14ac:dyDescent="0.3">
      <c r="A74">
        <v>73</v>
      </c>
      <c r="B74" t="s">
        <v>123</v>
      </c>
      <c r="C74" t="s">
        <v>6</v>
      </c>
      <c r="D74">
        <v>505</v>
      </c>
      <c r="E74">
        <f t="shared" si="2"/>
        <v>0</v>
      </c>
      <c r="F74" s="2">
        <f t="shared" si="3"/>
        <v>1.3698630136986301E-2</v>
      </c>
      <c r="G74" s="2" t="str">
        <f>IF(E74=1,SUM(F$3:$F73),"")</f>
        <v/>
      </c>
    </row>
    <row r="75" spans="1:7" x14ac:dyDescent="0.3">
      <c r="A75">
        <v>74</v>
      </c>
      <c r="B75" t="s">
        <v>59</v>
      </c>
      <c r="C75" t="s">
        <v>7</v>
      </c>
      <c r="D75">
        <v>504</v>
      </c>
      <c r="E75">
        <f t="shared" si="2"/>
        <v>0</v>
      </c>
      <c r="F75" s="2">
        <f t="shared" si="3"/>
        <v>1.3513513513513514E-2</v>
      </c>
      <c r="G75" s="2" t="str">
        <f>IF(E75=1,SUM(F$3:$F74),"")</f>
        <v/>
      </c>
    </row>
    <row r="76" spans="1:7" x14ac:dyDescent="0.3">
      <c r="A76">
        <v>75</v>
      </c>
      <c r="B76" t="s">
        <v>103</v>
      </c>
      <c r="C76" t="s">
        <v>6</v>
      </c>
      <c r="D76">
        <v>500</v>
      </c>
      <c r="E76">
        <f t="shared" si="2"/>
        <v>0</v>
      </c>
      <c r="F76" s="2">
        <f t="shared" si="3"/>
        <v>1.3333333333333334E-2</v>
      </c>
      <c r="G76" s="2" t="str">
        <f>IF(E76=1,SUM(F$3:$F75),"")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88E77-A675-4FC7-B05E-3F0B241D11F6}">
  <dimension ref="A1:L76"/>
  <sheetViews>
    <sheetView topLeftCell="A5" workbookViewId="0">
      <selection activeCell="L3" sqref="L3"/>
    </sheetView>
  </sheetViews>
  <sheetFormatPr defaultRowHeight="14.4" x14ac:dyDescent="0.3"/>
  <cols>
    <col min="1" max="1" width="3" bestFit="1" customWidth="1"/>
    <col min="2" max="2" width="28.44140625" bestFit="1" customWidth="1"/>
    <col min="3" max="3" width="12.77734375" bestFit="1" customWidth="1"/>
    <col min="4" max="4" width="6.21875" bestFit="1" customWidth="1"/>
    <col min="5" max="5" width="9.6640625" bestFit="1" customWidth="1"/>
    <col min="6" max="6" width="7.21875" bestFit="1" customWidth="1"/>
    <col min="7" max="7" width="15.77734375" bestFit="1" customWidth="1"/>
    <col min="9" max="9" width="19.5546875" bestFit="1" customWidth="1"/>
    <col min="11" max="11" width="32.5546875" bestFit="1" customWidth="1"/>
    <col min="12" max="12" width="5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85</v>
      </c>
      <c r="F1" s="1" t="s">
        <v>87</v>
      </c>
      <c r="G1" s="1" t="s">
        <v>141</v>
      </c>
      <c r="I1" s="1" t="s">
        <v>84</v>
      </c>
    </row>
    <row r="2" spans="1:12" x14ac:dyDescent="0.3">
      <c r="A2">
        <v>1</v>
      </c>
      <c r="B2" t="s">
        <v>19</v>
      </c>
      <c r="C2" t="s">
        <v>5</v>
      </c>
      <c r="D2">
        <v>827</v>
      </c>
      <c r="E2">
        <f>IF(COUNTIF($I$2:$I$33,B2)&gt;0,1,0)</f>
        <v>1</v>
      </c>
      <c r="F2" s="2" t="str">
        <f>IF(E2=1,"",1/A2)</f>
        <v/>
      </c>
      <c r="G2" s="2">
        <v>0</v>
      </c>
      <c r="I2" t="s">
        <v>17</v>
      </c>
    </row>
    <row r="3" spans="1:12" x14ac:dyDescent="0.3">
      <c r="A3">
        <v>2</v>
      </c>
      <c r="B3" t="s">
        <v>81</v>
      </c>
      <c r="C3" t="s">
        <v>4</v>
      </c>
      <c r="D3">
        <v>772</v>
      </c>
      <c r="E3">
        <f t="shared" ref="E3:E66" si="0">IF(COUNTIF($I$2:$I$33,B3)&gt;0,1,0)</f>
        <v>1</v>
      </c>
      <c r="F3" s="2" t="str">
        <f t="shared" ref="F3:F66" si="1">IF(E3=1,"",1/A3)</f>
        <v/>
      </c>
      <c r="G3" s="2">
        <f>IF(E3=1,SUM(F2:$F$3),"")</f>
        <v>0</v>
      </c>
      <c r="I3" t="s">
        <v>57</v>
      </c>
      <c r="K3" s="3" t="s">
        <v>131</v>
      </c>
      <c r="L3" s="2">
        <f>SUM(F:F)*(COUNTA(I:I)-1)</f>
        <v>38.281784643632442</v>
      </c>
    </row>
    <row r="4" spans="1:12" x14ac:dyDescent="0.3">
      <c r="A4">
        <v>3</v>
      </c>
      <c r="B4" t="s">
        <v>18</v>
      </c>
      <c r="C4" t="s">
        <v>4</v>
      </c>
      <c r="D4">
        <v>768</v>
      </c>
      <c r="E4">
        <f t="shared" si="0"/>
        <v>1</v>
      </c>
      <c r="F4" s="2" t="str">
        <f t="shared" si="1"/>
        <v/>
      </c>
      <c r="G4" s="2">
        <f>IF(E4=1,SUM(F3:$F$3),"")</f>
        <v>0</v>
      </c>
      <c r="I4" t="s">
        <v>42</v>
      </c>
      <c r="K4" t="s">
        <v>136</v>
      </c>
      <c r="L4" s="2">
        <f>SUMIF(C:C,"UEFA",G:G)/COUNTIFS(C:C,"UEFA",E:E,1)*100</f>
        <v>28.908858377742558</v>
      </c>
    </row>
    <row r="5" spans="1:12" x14ac:dyDescent="0.3">
      <c r="A5">
        <v>4</v>
      </c>
      <c r="B5" t="s">
        <v>28</v>
      </c>
      <c r="C5" t="s">
        <v>7</v>
      </c>
      <c r="D5">
        <v>758</v>
      </c>
      <c r="E5">
        <f t="shared" si="0"/>
        <v>1</v>
      </c>
      <c r="F5" s="2" t="str">
        <f t="shared" si="1"/>
        <v/>
      </c>
      <c r="G5" s="2">
        <f>IF(E5=1,SUM(F$3:$F4),"")</f>
        <v>0</v>
      </c>
      <c r="I5" t="s">
        <v>45</v>
      </c>
      <c r="K5" t="s">
        <v>135</v>
      </c>
      <c r="L5" s="2">
        <f>SUMIF(C:C,"CONMEBOL",G:G)/COUNTIFS(C:C,"CONMEBOL",E:E,1)*100</f>
        <v>32.609271080533439</v>
      </c>
    </row>
    <row r="6" spans="1:12" x14ac:dyDescent="0.3">
      <c r="A6">
        <v>5</v>
      </c>
      <c r="B6" t="s">
        <v>21</v>
      </c>
      <c r="C6" t="s">
        <v>4</v>
      </c>
      <c r="D6">
        <v>756</v>
      </c>
      <c r="E6">
        <f t="shared" si="0"/>
        <v>1</v>
      </c>
      <c r="F6" s="2" t="str">
        <f t="shared" si="1"/>
        <v/>
      </c>
      <c r="G6" s="2">
        <f>IF(E6=1,SUM(F$3:$F5),"")</f>
        <v>0</v>
      </c>
      <c r="I6" t="s">
        <v>62</v>
      </c>
      <c r="K6" t="s">
        <v>134</v>
      </c>
      <c r="L6" s="2">
        <f>SUMIF(C:C,"CONCACAF",G:G)/COUNTIFS(C:C,"CONCACAF",E:E,1)*100</f>
        <v>32.357508852515778</v>
      </c>
    </row>
    <row r="7" spans="1:12" x14ac:dyDescent="0.3">
      <c r="A7">
        <v>6</v>
      </c>
      <c r="B7" t="s">
        <v>79</v>
      </c>
      <c r="C7" t="s">
        <v>7</v>
      </c>
      <c r="D7">
        <v>756</v>
      </c>
      <c r="E7">
        <f t="shared" si="0"/>
        <v>1</v>
      </c>
      <c r="F7" s="2" t="str">
        <f t="shared" si="1"/>
        <v/>
      </c>
      <c r="G7" s="2">
        <f>IF(E7=1,SUM(F$3:$F6),"")</f>
        <v>0</v>
      </c>
      <c r="I7" t="s">
        <v>16</v>
      </c>
      <c r="K7" t="s">
        <v>133</v>
      </c>
      <c r="L7" s="2">
        <f>SUMIF(C:C,"CAF",G:G)/COUNTIFS(C:C,"CAF",E:E,1)*100</f>
        <v>75.040834497368706</v>
      </c>
    </row>
    <row r="8" spans="1:12" x14ac:dyDescent="0.3">
      <c r="A8">
        <v>7</v>
      </c>
      <c r="B8" t="s">
        <v>32</v>
      </c>
      <c r="C8" t="s">
        <v>4</v>
      </c>
      <c r="D8">
        <v>750</v>
      </c>
      <c r="E8">
        <f t="shared" si="0"/>
        <v>1</v>
      </c>
      <c r="F8" s="2" t="str">
        <f t="shared" si="1"/>
        <v/>
      </c>
      <c r="G8" s="2">
        <f>IF(E8=1,SUM(F$3:$F7),"")</f>
        <v>0</v>
      </c>
      <c r="I8" t="s">
        <v>94</v>
      </c>
      <c r="K8" t="s">
        <v>132</v>
      </c>
      <c r="L8" s="2">
        <f>SUMIF(C:C,"AFC",G:G)/COUNTIFS(C:C,"AFC",E:E,1)*100</f>
        <v>55.894291996839904</v>
      </c>
    </row>
    <row r="9" spans="1:12" x14ac:dyDescent="0.3">
      <c r="A9">
        <v>8</v>
      </c>
      <c r="B9" t="s">
        <v>26</v>
      </c>
      <c r="C9" t="s">
        <v>4</v>
      </c>
      <c r="D9">
        <v>749</v>
      </c>
      <c r="E9">
        <f t="shared" si="0"/>
        <v>1</v>
      </c>
      <c r="F9" s="2" t="str">
        <f t="shared" si="1"/>
        <v/>
      </c>
      <c r="G9" s="2">
        <f>IF(E9=1,SUM(F$3:$F8),"")</f>
        <v>0</v>
      </c>
      <c r="I9" t="s">
        <v>79</v>
      </c>
    </row>
    <row r="10" spans="1:12" x14ac:dyDescent="0.3">
      <c r="A10">
        <v>9</v>
      </c>
      <c r="B10" t="s">
        <v>16</v>
      </c>
      <c r="C10" t="s">
        <v>5</v>
      </c>
      <c r="D10">
        <v>746</v>
      </c>
      <c r="E10">
        <f t="shared" si="0"/>
        <v>1</v>
      </c>
      <c r="F10" s="2" t="str">
        <f t="shared" si="1"/>
        <v/>
      </c>
      <c r="G10" s="2">
        <f>IF(E10=1,SUM(F$3:$F9),"")</f>
        <v>0</v>
      </c>
      <c r="I10" t="s">
        <v>19</v>
      </c>
    </row>
    <row r="11" spans="1:12" x14ac:dyDescent="0.3">
      <c r="A11">
        <v>10</v>
      </c>
      <c r="B11" t="s">
        <v>27</v>
      </c>
      <c r="C11" t="s">
        <v>4</v>
      </c>
      <c r="D11">
        <v>741</v>
      </c>
      <c r="E11">
        <f t="shared" si="0"/>
        <v>1</v>
      </c>
      <c r="F11" s="2" t="str">
        <f t="shared" si="1"/>
        <v/>
      </c>
      <c r="G11" s="2">
        <f>IF(E11=1,SUM(F$3:$F10),"")</f>
        <v>0</v>
      </c>
      <c r="I11" t="s">
        <v>28</v>
      </c>
    </row>
    <row r="12" spans="1:12" x14ac:dyDescent="0.3">
      <c r="A12">
        <v>11</v>
      </c>
      <c r="B12" t="s">
        <v>23</v>
      </c>
      <c r="C12" t="s">
        <v>4</v>
      </c>
      <c r="D12">
        <v>736</v>
      </c>
      <c r="E12">
        <f t="shared" si="0"/>
        <v>0</v>
      </c>
      <c r="F12" s="2">
        <f t="shared" si="1"/>
        <v>9.0909090909090912E-2</v>
      </c>
      <c r="G12" s="2" t="str">
        <f>IF(E12=1,SUM(F$3:$F11),"")</f>
        <v/>
      </c>
      <c r="I12" t="s">
        <v>35</v>
      </c>
    </row>
    <row r="13" spans="1:12" x14ac:dyDescent="0.3">
      <c r="A13">
        <v>12</v>
      </c>
      <c r="B13" t="s">
        <v>13</v>
      </c>
      <c r="C13" t="s">
        <v>6</v>
      </c>
      <c r="D13">
        <v>736</v>
      </c>
      <c r="E13">
        <f t="shared" si="0"/>
        <v>0</v>
      </c>
      <c r="F13" s="2">
        <f t="shared" si="1"/>
        <v>8.3333333333333329E-2</v>
      </c>
      <c r="G13" s="2" t="str">
        <f>IF(E13=1,SUM(F$3:$F12),"")</f>
        <v/>
      </c>
      <c r="I13" t="s">
        <v>98</v>
      </c>
    </row>
    <row r="14" spans="1:12" x14ac:dyDescent="0.3">
      <c r="A14">
        <v>13</v>
      </c>
      <c r="B14" t="s">
        <v>20</v>
      </c>
      <c r="C14" t="s">
        <v>4</v>
      </c>
      <c r="D14">
        <v>728</v>
      </c>
      <c r="E14">
        <f t="shared" si="0"/>
        <v>1</v>
      </c>
      <c r="F14" s="2" t="str">
        <f t="shared" si="1"/>
        <v/>
      </c>
      <c r="G14" s="2">
        <f>IF(E14=1,SUM(F$3:$F13),"")</f>
        <v>0.17424242424242425</v>
      </c>
      <c r="I14" t="s">
        <v>27</v>
      </c>
    </row>
    <row r="15" spans="1:12" x14ac:dyDescent="0.3">
      <c r="A15">
        <v>14</v>
      </c>
      <c r="B15" t="s">
        <v>129</v>
      </c>
      <c r="C15" t="s">
        <v>4</v>
      </c>
      <c r="D15">
        <v>726</v>
      </c>
      <c r="E15">
        <f t="shared" si="0"/>
        <v>0</v>
      </c>
      <c r="F15" s="2">
        <f t="shared" si="1"/>
        <v>7.1428571428571425E-2</v>
      </c>
      <c r="G15" s="2" t="str">
        <f>IF(E15=1,SUM(F$3:$F14),"")</f>
        <v/>
      </c>
      <c r="I15" t="s">
        <v>40</v>
      </c>
    </row>
    <row r="16" spans="1:12" x14ac:dyDescent="0.3">
      <c r="A16">
        <v>15</v>
      </c>
      <c r="B16" t="s">
        <v>33</v>
      </c>
      <c r="C16" t="s">
        <v>6</v>
      </c>
      <c r="D16">
        <v>722</v>
      </c>
      <c r="E16">
        <f t="shared" si="0"/>
        <v>0</v>
      </c>
      <c r="F16" s="2">
        <f t="shared" si="1"/>
        <v>6.6666666666666666E-2</v>
      </c>
      <c r="G16" s="2" t="str">
        <f>IF(E16=1,SUM(F$3:$F15),"")</f>
        <v/>
      </c>
      <c r="I16" t="s">
        <v>93</v>
      </c>
    </row>
    <row r="17" spans="1:9" x14ac:dyDescent="0.3">
      <c r="A17">
        <v>16</v>
      </c>
      <c r="B17" t="s">
        <v>24</v>
      </c>
      <c r="C17" t="s">
        <v>4</v>
      </c>
      <c r="D17">
        <v>709</v>
      </c>
      <c r="E17">
        <f t="shared" si="0"/>
        <v>1</v>
      </c>
      <c r="F17" s="2" t="str">
        <f t="shared" si="1"/>
        <v/>
      </c>
      <c r="G17" s="2">
        <f>IF(E17=1,SUM(F$3:$F16),"")</f>
        <v>0.31233766233766236</v>
      </c>
      <c r="I17" t="s">
        <v>31</v>
      </c>
    </row>
    <row r="18" spans="1:9" x14ac:dyDescent="0.3">
      <c r="A18">
        <v>17</v>
      </c>
      <c r="B18" t="s">
        <v>34</v>
      </c>
      <c r="C18" t="s">
        <v>6</v>
      </c>
      <c r="D18">
        <v>708</v>
      </c>
      <c r="E18">
        <f t="shared" si="0"/>
        <v>0</v>
      </c>
      <c r="F18" s="2">
        <f t="shared" si="1"/>
        <v>5.8823529411764705E-2</v>
      </c>
      <c r="G18" s="2" t="str">
        <f>IF(E18=1,SUM(F$3:$F17),"")</f>
        <v/>
      </c>
      <c r="I18" t="s">
        <v>38</v>
      </c>
    </row>
    <row r="19" spans="1:9" x14ac:dyDescent="0.3">
      <c r="A19">
        <v>18</v>
      </c>
      <c r="B19" t="s">
        <v>57</v>
      </c>
      <c r="C19" t="s">
        <v>9</v>
      </c>
      <c r="D19">
        <v>705</v>
      </c>
      <c r="E19">
        <f t="shared" si="0"/>
        <v>1</v>
      </c>
      <c r="F19" s="2" t="str">
        <f t="shared" si="1"/>
        <v/>
      </c>
      <c r="G19" s="2">
        <f>IF(E19=1,SUM(F$3:$F18),"")</f>
        <v>0.37116119174942708</v>
      </c>
      <c r="I19" t="s">
        <v>88</v>
      </c>
    </row>
    <row r="20" spans="1:9" x14ac:dyDescent="0.3">
      <c r="A20">
        <v>19</v>
      </c>
      <c r="B20" t="s">
        <v>17</v>
      </c>
      <c r="C20" t="s">
        <v>4</v>
      </c>
      <c r="D20">
        <v>696</v>
      </c>
      <c r="E20">
        <f t="shared" si="0"/>
        <v>1</v>
      </c>
      <c r="F20" s="2" t="str">
        <f t="shared" si="1"/>
        <v/>
      </c>
      <c r="G20" s="2">
        <f>IF(E20=1,SUM(F$3:$F19),"")</f>
        <v>0.37116119174942708</v>
      </c>
      <c r="I20" t="s">
        <v>18</v>
      </c>
    </row>
    <row r="21" spans="1:9" x14ac:dyDescent="0.3">
      <c r="A21">
        <v>20</v>
      </c>
      <c r="B21" t="s">
        <v>39</v>
      </c>
      <c r="C21" t="s">
        <v>4</v>
      </c>
      <c r="D21">
        <v>694</v>
      </c>
      <c r="E21">
        <f t="shared" si="0"/>
        <v>0</v>
      </c>
      <c r="F21" s="2">
        <f t="shared" si="1"/>
        <v>0.05</v>
      </c>
      <c r="G21" s="2" t="str">
        <f>IF(E21=1,SUM(F$3:$F20),"")</f>
        <v/>
      </c>
      <c r="I21" t="s">
        <v>20</v>
      </c>
    </row>
    <row r="22" spans="1:9" x14ac:dyDescent="0.3">
      <c r="A22">
        <v>21</v>
      </c>
      <c r="B22" t="s">
        <v>38</v>
      </c>
      <c r="C22" t="s">
        <v>6</v>
      </c>
      <c r="D22">
        <v>693</v>
      </c>
      <c r="E22">
        <f t="shared" si="0"/>
        <v>1</v>
      </c>
      <c r="F22" s="2" t="str">
        <f t="shared" si="1"/>
        <v/>
      </c>
      <c r="G22" s="2">
        <f>IF(E22=1,SUM(F$3:$F21),"")</f>
        <v>0.42116119174942707</v>
      </c>
      <c r="I22" t="s">
        <v>32</v>
      </c>
    </row>
    <row r="23" spans="1:9" x14ac:dyDescent="0.3">
      <c r="A23">
        <v>22</v>
      </c>
      <c r="B23" t="s">
        <v>29</v>
      </c>
      <c r="C23" t="s">
        <v>5</v>
      </c>
      <c r="D23">
        <v>689</v>
      </c>
      <c r="E23">
        <f t="shared" si="0"/>
        <v>0</v>
      </c>
      <c r="F23" s="2">
        <f t="shared" si="1"/>
        <v>4.5454545454545456E-2</v>
      </c>
      <c r="G23" s="2" t="str">
        <f>IF(E23=1,SUM(F$3:$F22),"")</f>
        <v/>
      </c>
      <c r="I23" t="s">
        <v>56</v>
      </c>
    </row>
    <row r="24" spans="1:9" x14ac:dyDescent="0.3">
      <c r="A24">
        <v>23</v>
      </c>
      <c r="B24" t="s">
        <v>62</v>
      </c>
      <c r="C24" t="s">
        <v>9</v>
      </c>
      <c r="D24">
        <v>686</v>
      </c>
      <c r="E24">
        <f t="shared" si="0"/>
        <v>1</v>
      </c>
      <c r="F24" s="2" t="str">
        <f t="shared" si="1"/>
        <v/>
      </c>
      <c r="G24" s="2">
        <f>IF(E24=1,SUM(F$3:$F23),"")</f>
        <v>0.46661573720397254</v>
      </c>
      <c r="I24" t="s">
        <v>47</v>
      </c>
    </row>
    <row r="25" spans="1:9" x14ac:dyDescent="0.3">
      <c r="A25">
        <v>24</v>
      </c>
      <c r="B25" t="s">
        <v>88</v>
      </c>
      <c r="C25" t="s">
        <v>4</v>
      </c>
      <c r="D25">
        <v>686</v>
      </c>
      <c r="E25">
        <f t="shared" si="0"/>
        <v>1</v>
      </c>
      <c r="F25" s="2" t="str">
        <f t="shared" si="1"/>
        <v/>
      </c>
      <c r="G25" s="2">
        <f>IF(E25=1,SUM(F$3:$F24),"")</f>
        <v>0.46661573720397254</v>
      </c>
      <c r="I25" t="s">
        <v>64</v>
      </c>
    </row>
    <row r="26" spans="1:9" x14ac:dyDescent="0.3">
      <c r="A26">
        <v>25</v>
      </c>
      <c r="B26" t="s">
        <v>14</v>
      </c>
      <c r="C26" t="s">
        <v>4</v>
      </c>
      <c r="D26">
        <v>685</v>
      </c>
      <c r="E26">
        <f t="shared" si="0"/>
        <v>0</v>
      </c>
      <c r="F26" s="2">
        <f t="shared" si="1"/>
        <v>0.04</v>
      </c>
      <c r="G26" s="2" t="str">
        <f>IF(E26=1,SUM(F$3:$F25),"")</f>
        <v/>
      </c>
      <c r="I26" t="s">
        <v>24</v>
      </c>
    </row>
    <row r="27" spans="1:9" x14ac:dyDescent="0.3">
      <c r="A27">
        <v>26</v>
      </c>
      <c r="B27" t="s">
        <v>56</v>
      </c>
      <c r="C27" t="s">
        <v>7</v>
      </c>
      <c r="D27">
        <v>683</v>
      </c>
      <c r="E27">
        <f t="shared" si="0"/>
        <v>1</v>
      </c>
      <c r="F27" s="2" t="str">
        <f t="shared" si="1"/>
        <v/>
      </c>
      <c r="G27" s="2">
        <f>IF(E27=1,SUM(F$3:$F26),"")</f>
        <v>0.50661573720397257</v>
      </c>
      <c r="I27" t="s">
        <v>124</v>
      </c>
    </row>
    <row r="28" spans="1:9" x14ac:dyDescent="0.3">
      <c r="A28">
        <v>27</v>
      </c>
      <c r="B28" t="s">
        <v>11</v>
      </c>
      <c r="C28" t="s">
        <v>5</v>
      </c>
      <c r="D28">
        <v>681</v>
      </c>
      <c r="E28">
        <f t="shared" si="0"/>
        <v>0</v>
      </c>
      <c r="F28" s="2">
        <f t="shared" si="1"/>
        <v>3.7037037037037035E-2</v>
      </c>
      <c r="G28" s="2" t="str">
        <f>IF(E28=1,SUM(F$3:$F27),"")</f>
        <v/>
      </c>
      <c r="I28" t="s">
        <v>26</v>
      </c>
    </row>
    <row r="29" spans="1:9" x14ac:dyDescent="0.3">
      <c r="A29">
        <v>28</v>
      </c>
      <c r="B29" t="s">
        <v>60</v>
      </c>
      <c r="C29" t="s">
        <v>6</v>
      </c>
      <c r="D29">
        <v>679</v>
      </c>
      <c r="E29">
        <f t="shared" si="0"/>
        <v>0</v>
      </c>
      <c r="F29" s="2">
        <f t="shared" si="1"/>
        <v>3.5714285714285712E-2</v>
      </c>
      <c r="G29" s="2" t="str">
        <f>IF(E29=1,SUM(F$3:$F28),"")</f>
        <v/>
      </c>
      <c r="I29" t="s">
        <v>52</v>
      </c>
    </row>
    <row r="30" spans="1:9" x14ac:dyDescent="0.3">
      <c r="A30">
        <v>29</v>
      </c>
      <c r="B30" t="s">
        <v>45</v>
      </c>
      <c r="C30" t="s">
        <v>9</v>
      </c>
      <c r="D30">
        <v>677</v>
      </c>
      <c r="E30">
        <f t="shared" si="0"/>
        <v>1</v>
      </c>
      <c r="F30" s="2" t="str">
        <f t="shared" si="1"/>
        <v/>
      </c>
      <c r="G30" s="2">
        <f>IF(E30=1,SUM(F$3:$F29),"")</f>
        <v>0.57936705995529525</v>
      </c>
      <c r="I30" t="s">
        <v>121</v>
      </c>
    </row>
    <row r="31" spans="1:9" x14ac:dyDescent="0.3">
      <c r="A31">
        <v>30</v>
      </c>
      <c r="B31" t="s">
        <v>40</v>
      </c>
      <c r="C31" t="s">
        <v>4</v>
      </c>
      <c r="D31">
        <v>677</v>
      </c>
      <c r="E31">
        <f t="shared" si="0"/>
        <v>1</v>
      </c>
      <c r="F31" s="2" t="str">
        <f t="shared" si="1"/>
        <v/>
      </c>
      <c r="G31" s="2">
        <f>IF(E31=1,SUM(F$3:$F30),"")</f>
        <v>0.57936705995529525</v>
      </c>
      <c r="I31" t="s">
        <v>81</v>
      </c>
    </row>
    <row r="32" spans="1:9" x14ac:dyDescent="0.3">
      <c r="A32">
        <v>31</v>
      </c>
      <c r="B32" t="s">
        <v>83</v>
      </c>
      <c r="C32" t="s">
        <v>4</v>
      </c>
      <c r="D32">
        <v>671</v>
      </c>
      <c r="E32">
        <f t="shared" si="0"/>
        <v>0</v>
      </c>
      <c r="F32" s="2">
        <f t="shared" si="1"/>
        <v>3.2258064516129031E-2</v>
      </c>
      <c r="G32" s="2" t="str">
        <f>IF(E32=1,SUM(F$3:$F31),"")</f>
        <v/>
      </c>
      <c r="I32" t="s">
        <v>21</v>
      </c>
    </row>
    <row r="33" spans="1:9" x14ac:dyDescent="0.3">
      <c r="A33">
        <v>32</v>
      </c>
      <c r="B33" t="s">
        <v>31</v>
      </c>
      <c r="C33" t="s">
        <v>6</v>
      </c>
      <c r="D33">
        <v>669</v>
      </c>
      <c r="E33">
        <f t="shared" si="0"/>
        <v>1</v>
      </c>
      <c r="F33" s="2" t="str">
        <f t="shared" si="1"/>
        <v/>
      </c>
      <c r="G33" s="2">
        <f>IF(E33=1,SUM(F$3:$F32),"")</f>
        <v>0.61162512447142425</v>
      </c>
      <c r="I33" t="s">
        <v>25</v>
      </c>
    </row>
    <row r="34" spans="1:9" x14ac:dyDescent="0.3">
      <c r="A34">
        <v>33</v>
      </c>
      <c r="B34" t="s">
        <v>64</v>
      </c>
      <c r="C34" t="s">
        <v>5</v>
      </c>
      <c r="D34">
        <v>653</v>
      </c>
      <c r="E34">
        <f t="shared" si="0"/>
        <v>1</v>
      </c>
      <c r="F34" s="2" t="str">
        <f t="shared" si="1"/>
        <v/>
      </c>
      <c r="G34" s="2">
        <f>IF(E34=1,SUM(F$3:$F33),"")</f>
        <v>0.61162512447142425</v>
      </c>
    </row>
    <row r="35" spans="1:9" x14ac:dyDescent="0.3">
      <c r="A35">
        <v>34</v>
      </c>
      <c r="B35" t="s">
        <v>42</v>
      </c>
      <c r="C35" t="s">
        <v>9</v>
      </c>
      <c r="D35">
        <v>651</v>
      </c>
      <c r="E35">
        <f t="shared" si="0"/>
        <v>1</v>
      </c>
      <c r="F35" s="2" t="str">
        <f t="shared" si="1"/>
        <v/>
      </c>
      <c r="G35" s="2">
        <f>IF(E35=1,SUM(F$3:$F34),"")</f>
        <v>0.61162512447142425</v>
      </c>
    </row>
    <row r="36" spans="1:9" x14ac:dyDescent="0.3">
      <c r="A36">
        <v>35</v>
      </c>
      <c r="B36" t="s">
        <v>25</v>
      </c>
      <c r="C36" t="s">
        <v>4</v>
      </c>
      <c r="D36">
        <v>648</v>
      </c>
      <c r="E36">
        <f t="shared" si="0"/>
        <v>1</v>
      </c>
      <c r="F36" s="2" t="str">
        <f t="shared" si="1"/>
        <v/>
      </c>
      <c r="G36" s="2">
        <f>IF(E36=1,SUM(F$3:$F35),"")</f>
        <v>0.61162512447142425</v>
      </c>
    </row>
    <row r="37" spans="1:9" x14ac:dyDescent="0.3">
      <c r="A37">
        <v>36</v>
      </c>
      <c r="B37" t="s">
        <v>37</v>
      </c>
      <c r="C37" t="s">
        <v>6</v>
      </c>
      <c r="D37">
        <v>646</v>
      </c>
      <c r="E37">
        <f t="shared" si="0"/>
        <v>0</v>
      </c>
      <c r="F37" s="2">
        <f t="shared" si="1"/>
        <v>2.7777777777777776E-2</v>
      </c>
      <c r="G37" s="2" t="str">
        <f>IF(E37=1,SUM(F$3:$F36),"")</f>
        <v/>
      </c>
    </row>
    <row r="38" spans="1:9" x14ac:dyDescent="0.3">
      <c r="A38">
        <v>37</v>
      </c>
      <c r="B38" t="s">
        <v>10</v>
      </c>
      <c r="C38" t="s">
        <v>4</v>
      </c>
      <c r="D38">
        <v>645</v>
      </c>
      <c r="E38">
        <f t="shared" si="0"/>
        <v>0</v>
      </c>
      <c r="F38" s="2">
        <f t="shared" si="1"/>
        <v>2.7027027027027029E-2</v>
      </c>
      <c r="G38" s="2" t="str">
        <f>IF(E38=1,SUM(F$3:$F37),"")</f>
        <v/>
      </c>
    </row>
    <row r="39" spans="1:9" x14ac:dyDescent="0.3">
      <c r="A39">
        <v>38</v>
      </c>
      <c r="B39" t="s">
        <v>15</v>
      </c>
      <c r="C39" t="s">
        <v>4</v>
      </c>
      <c r="D39">
        <v>645</v>
      </c>
      <c r="E39">
        <f t="shared" si="0"/>
        <v>0</v>
      </c>
      <c r="F39" s="2">
        <f t="shared" si="1"/>
        <v>2.6315789473684209E-2</v>
      </c>
      <c r="G39" s="2" t="str">
        <f>IF(E39=1,SUM(F$3:$F38),"")</f>
        <v/>
      </c>
    </row>
    <row r="40" spans="1:9" x14ac:dyDescent="0.3">
      <c r="A40">
        <v>39</v>
      </c>
      <c r="B40" t="s">
        <v>47</v>
      </c>
      <c r="C40" t="s">
        <v>5</v>
      </c>
      <c r="D40">
        <v>631</v>
      </c>
      <c r="E40">
        <f t="shared" si="0"/>
        <v>1</v>
      </c>
      <c r="F40" s="2" t="str">
        <f t="shared" si="1"/>
        <v/>
      </c>
      <c r="G40" s="2">
        <f>IF(E40=1,SUM(F$3:$F39),"")</f>
        <v>0.6927457187499132</v>
      </c>
    </row>
    <row r="41" spans="1:9" x14ac:dyDescent="0.3">
      <c r="A41">
        <v>40</v>
      </c>
      <c r="B41" t="s">
        <v>22</v>
      </c>
      <c r="C41" t="s">
        <v>4</v>
      </c>
      <c r="D41">
        <v>627</v>
      </c>
      <c r="E41">
        <f t="shared" si="0"/>
        <v>0</v>
      </c>
      <c r="F41" s="2">
        <f t="shared" si="1"/>
        <v>2.5000000000000001E-2</v>
      </c>
      <c r="G41" s="2" t="str">
        <f>IF(E41=1,SUM(F$3:$F40),"")</f>
        <v/>
      </c>
    </row>
    <row r="42" spans="1:9" x14ac:dyDescent="0.3">
      <c r="A42">
        <v>41</v>
      </c>
      <c r="B42" t="s">
        <v>50</v>
      </c>
      <c r="C42" t="s">
        <v>4</v>
      </c>
      <c r="D42">
        <v>613</v>
      </c>
      <c r="E42">
        <f t="shared" si="0"/>
        <v>0</v>
      </c>
      <c r="F42" s="2">
        <f t="shared" si="1"/>
        <v>2.4390243902439025E-2</v>
      </c>
      <c r="G42" s="2" t="str">
        <f>IF(E42=1,SUM(F$3:$F41),"")</f>
        <v/>
      </c>
    </row>
    <row r="43" spans="1:9" x14ac:dyDescent="0.3">
      <c r="A43">
        <v>42</v>
      </c>
      <c r="B43" t="s">
        <v>55</v>
      </c>
      <c r="C43" t="s">
        <v>7</v>
      </c>
      <c r="D43">
        <v>612</v>
      </c>
      <c r="E43">
        <f t="shared" si="0"/>
        <v>0</v>
      </c>
      <c r="F43" s="2">
        <f t="shared" si="1"/>
        <v>2.3809523809523808E-2</v>
      </c>
      <c r="G43" s="2" t="str">
        <f>IF(E43=1,SUM(F$3:$F42),"")</f>
        <v/>
      </c>
    </row>
    <row r="44" spans="1:9" x14ac:dyDescent="0.3">
      <c r="A44">
        <v>43</v>
      </c>
      <c r="B44" t="s">
        <v>52</v>
      </c>
      <c r="C44" t="s">
        <v>9</v>
      </c>
      <c r="D44">
        <v>612</v>
      </c>
      <c r="E44">
        <f t="shared" si="0"/>
        <v>1</v>
      </c>
      <c r="F44" s="2" t="str">
        <f t="shared" si="1"/>
        <v/>
      </c>
      <c r="G44" s="2">
        <f>IF(E44=1,SUM(F$3:$F43),"")</f>
        <v>0.7659454864618761</v>
      </c>
    </row>
    <row r="45" spans="1:9" x14ac:dyDescent="0.3">
      <c r="A45">
        <v>44</v>
      </c>
      <c r="B45" t="s">
        <v>124</v>
      </c>
      <c r="C45" t="s">
        <v>4</v>
      </c>
      <c r="D45">
        <v>610</v>
      </c>
      <c r="E45">
        <f t="shared" si="0"/>
        <v>1</v>
      </c>
      <c r="F45" s="2" t="str">
        <f t="shared" si="1"/>
        <v/>
      </c>
      <c r="G45" s="2">
        <f>IF(E45=1,SUM(F$3:$F44),"")</f>
        <v>0.7659454864618761</v>
      </c>
    </row>
    <row r="46" spans="1:9" x14ac:dyDescent="0.3">
      <c r="A46">
        <v>45</v>
      </c>
      <c r="B46" t="s">
        <v>94</v>
      </c>
      <c r="C46" t="s">
        <v>4</v>
      </c>
      <c r="D46">
        <v>609</v>
      </c>
      <c r="E46">
        <f t="shared" si="0"/>
        <v>1</v>
      </c>
      <c r="F46" s="2" t="str">
        <f t="shared" si="1"/>
        <v/>
      </c>
      <c r="G46" s="2">
        <f>IF(E46=1,SUM(F$3:$F45),"")</f>
        <v>0.7659454864618761</v>
      </c>
    </row>
    <row r="47" spans="1:9" x14ac:dyDescent="0.3">
      <c r="A47">
        <v>46</v>
      </c>
      <c r="B47" t="s">
        <v>73</v>
      </c>
      <c r="C47" t="s">
        <v>7</v>
      </c>
      <c r="D47">
        <v>607</v>
      </c>
      <c r="E47">
        <f t="shared" si="0"/>
        <v>0</v>
      </c>
      <c r="F47" s="2">
        <f t="shared" si="1"/>
        <v>2.1739130434782608E-2</v>
      </c>
      <c r="G47" s="2" t="str">
        <f>IF(E47=1,SUM(F$3:$F46),"")</f>
        <v/>
      </c>
    </row>
    <row r="48" spans="1:9" x14ac:dyDescent="0.3">
      <c r="A48">
        <v>47</v>
      </c>
      <c r="B48" t="s">
        <v>121</v>
      </c>
      <c r="C48" t="s">
        <v>7</v>
      </c>
      <c r="D48">
        <v>604</v>
      </c>
      <c r="E48">
        <f t="shared" si="0"/>
        <v>1</v>
      </c>
      <c r="F48" s="2" t="str">
        <f t="shared" si="1"/>
        <v/>
      </c>
      <c r="G48" s="2">
        <f>IF(E48=1,SUM(F$3:$F47),"")</f>
        <v>0.7876846168966587</v>
      </c>
    </row>
    <row r="49" spans="1:7" x14ac:dyDescent="0.3">
      <c r="A49">
        <v>48</v>
      </c>
      <c r="B49" t="s">
        <v>35</v>
      </c>
      <c r="C49" t="s">
        <v>6</v>
      </c>
      <c r="D49">
        <v>600</v>
      </c>
      <c r="E49">
        <f t="shared" si="0"/>
        <v>1</v>
      </c>
      <c r="F49" s="2" t="str">
        <f t="shared" si="1"/>
        <v/>
      </c>
      <c r="G49" s="2">
        <f>IF(E49=1,SUM(F$3:$F48),"")</f>
        <v>0.7876846168966587</v>
      </c>
    </row>
    <row r="50" spans="1:7" x14ac:dyDescent="0.3">
      <c r="A50">
        <v>49</v>
      </c>
      <c r="B50" t="s">
        <v>51</v>
      </c>
      <c r="C50" t="s">
        <v>4</v>
      </c>
      <c r="D50">
        <v>599</v>
      </c>
      <c r="E50">
        <f t="shared" si="0"/>
        <v>0</v>
      </c>
      <c r="F50" s="2">
        <f t="shared" si="1"/>
        <v>2.0408163265306121E-2</v>
      </c>
      <c r="G50" s="2" t="str">
        <f>IF(E50=1,SUM(F$3:$F49),"")</f>
        <v/>
      </c>
    </row>
    <row r="51" spans="1:7" x14ac:dyDescent="0.3">
      <c r="A51">
        <v>50</v>
      </c>
      <c r="B51" t="s">
        <v>58</v>
      </c>
      <c r="C51" t="s">
        <v>4</v>
      </c>
      <c r="D51">
        <v>599</v>
      </c>
      <c r="E51">
        <f t="shared" si="0"/>
        <v>0</v>
      </c>
      <c r="F51" s="2">
        <f t="shared" si="1"/>
        <v>0.02</v>
      </c>
      <c r="G51" s="2" t="str">
        <f>IF(E51=1,SUM(F$3:$F50),"")</f>
        <v/>
      </c>
    </row>
    <row r="52" spans="1:7" x14ac:dyDescent="0.3">
      <c r="A52">
        <v>51</v>
      </c>
      <c r="B52" t="s">
        <v>65</v>
      </c>
      <c r="C52" t="s">
        <v>6</v>
      </c>
      <c r="D52">
        <v>597</v>
      </c>
      <c r="E52">
        <f t="shared" si="0"/>
        <v>0</v>
      </c>
      <c r="F52" s="2">
        <f t="shared" si="1"/>
        <v>1.9607843137254902E-2</v>
      </c>
      <c r="G52" s="2" t="str">
        <f>IF(E52=1,SUM(F$3:$F51),"")</f>
        <v/>
      </c>
    </row>
    <row r="53" spans="1:7" x14ac:dyDescent="0.3">
      <c r="A53">
        <v>52</v>
      </c>
      <c r="B53" t="s">
        <v>68</v>
      </c>
      <c r="C53" t="s">
        <v>9</v>
      </c>
      <c r="D53">
        <v>595</v>
      </c>
      <c r="E53">
        <f t="shared" si="0"/>
        <v>0</v>
      </c>
      <c r="F53" s="2">
        <f t="shared" si="1"/>
        <v>1.9230769230769232E-2</v>
      </c>
      <c r="G53" s="2" t="str">
        <f>IF(E53=1,SUM(F$3:$F52),"")</f>
        <v/>
      </c>
    </row>
    <row r="54" spans="1:7" x14ac:dyDescent="0.3">
      <c r="A54">
        <v>53</v>
      </c>
      <c r="B54" t="s">
        <v>89</v>
      </c>
      <c r="C54" t="s">
        <v>6</v>
      </c>
      <c r="D54">
        <v>593</v>
      </c>
      <c r="E54">
        <f t="shared" si="0"/>
        <v>0</v>
      </c>
      <c r="F54" s="2">
        <f t="shared" si="1"/>
        <v>1.8867924528301886E-2</v>
      </c>
      <c r="G54" s="2" t="str">
        <f>IF(E54=1,SUM(F$3:$F53),"")</f>
        <v/>
      </c>
    </row>
    <row r="55" spans="1:7" x14ac:dyDescent="0.3">
      <c r="A55">
        <v>54</v>
      </c>
      <c r="B55" t="s">
        <v>104</v>
      </c>
      <c r="C55" t="s">
        <v>9</v>
      </c>
      <c r="D55">
        <v>588</v>
      </c>
      <c r="E55">
        <f t="shared" si="0"/>
        <v>0</v>
      </c>
      <c r="F55" s="2">
        <f t="shared" si="1"/>
        <v>1.8518518518518517E-2</v>
      </c>
      <c r="G55" s="2" t="str">
        <f>IF(E55=1,SUM(F$3:$F54),"")</f>
        <v/>
      </c>
    </row>
    <row r="56" spans="1:7" x14ac:dyDescent="0.3">
      <c r="A56">
        <v>55</v>
      </c>
      <c r="B56" t="s">
        <v>49</v>
      </c>
      <c r="C56" t="s">
        <v>6</v>
      </c>
      <c r="D56">
        <v>586</v>
      </c>
      <c r="E56">
        <f t="shared" si="0"/>
        <v>0</v>
      </c>
      <c r="F56" s="2">
        <f t="shared" si="1"/>
        <v>1.8181818181818181E-2</v>
      </c>
      <c r="G56" s="2" t="str">
        <f>IF(E56=1,SUM(F$3:$F55),"")</f>
        <v/>
      </c>
    </row>
    <row r="57" spans="1:7" x14ac:dyDescent="0.3">
      <c r="A57">
        <v>56</v>
      </c>
      <c r="B57" t="s">
        <v>36</v>
      </c>
      <c r="C57" t="s">
        <v>4</v>
      </c>
      <c r="D57">
        <v>582</v>
      </c>
      <c r="E57">
        <f t="shared" si="0"/>
        <v>0</v>
      </c>
      <c r="F57" s="2">
        <f t="shared" si="1"/>
        <v>1.7857142857142856E-2</v>
      </c>
      <c r="G57" s="2" t="str">
        <f>IF(E57=1,SUM(F$3:$F56),"")</f>
        <v/>
      </c>
    </row>
    <row r="58" spans="1:7" x14ac:dyDescent="0.3">
      <c r="A58">
        <v>57</v>
      </c>
      <c r="B58" t="s">
        <v>93</v>
      </c>
      <c r="C58" t="s">
        <v>6</v>
      </c>
      <c r="D58">
        <v>581</v>
      </c>
      <c r="E58">
        <f t="shared" si="0"/>
        <v>1</v>
      </c>
      <c r="F58" s="2" t="str">
        <f t="shared" si="1"/>
        <v/>
      </c>
      <c r="G58" s="2">
        <f>IF(E58=1,SUM(F$3:$F57),"")</f>
        <v>0.94035679661577054</v>
      </c>
    </row>
    <row r="59" spans="1:7" x14ac:dyDescent="0.3">
      <c r="A59">
        <v>58</v>
      </c>
      <c r="B59" t="s">
        <v>30</v>
      </c>
      <c r="C59" t="s">
        <v>6</v>
      </c>
      <c r="D59">
        <v>581</v>
      </c>
      <c r="E59">
        <f t="shared" si="0"/>
        <v>0</v>
      </c>
      <c r="F59" s="2">
        <f t="shared" si="1"/>
        <v>1.7241379310344827E-2</v>
      </c>
      <c r="G59" s="2" t="str">
        <f>IF(E59=1,SUM(F$3:$F58),"")</f>
        <v/>
      </c>
    </row>
    <row r="60" spans="1:7" x14ac:dyDescent="0.3">
      <c r="A60">
        <v>59</v>
      </c>
      <c r="B60" t="s">
        <v>41</v>
      </c>
      <c r="C60" t="s">
        <v>4</v>
      </c>
      <c r="D60">
        <v>576</v>
      </c>
      <c r="E60">
        <f t="shared" si="0"/>
        <v>0</v>
      </c>
      <c r="F60" s="2">
        <f t="shared" si="1"/>
        <v>1.6949152542372881E-2</v>
      </c>
      <c r="G60" s="2" t="str">
        <f>IF(E60=1,SUM(F$3:$F59),"")</f>
        <v/>
      </c>
    </row>
    <row r="61" spans="1:7" x14ac:dyDescent="0.3">
      <c r="A61">
        <v>60</v>
      </c>
      <c r="B61" t="s">
        <v>102</v>
      </c>
      <c r="C61" t="s">
        <v>9</v>
      </c>
      <c r="D61">
        <v>571</v>
      </c>
      <c r="E61">
        <f t="shared" si="0"/>
        <v>0</v>
      </c>
      <c r="F61" s="2">
        <f t="shared" si="1"/>
        <v>1.6666666666666666E-2</v>
      </c>
      <c r="G61" s="2" t="str">
        <f>IF(E61=1,SUM(F$3:$F60),"")</f>
        <v/>
      </c>
    </row>
    <row r="62" spans="1:7" x14ac:dyDescent="0.3">
      <c r="A62">
        <v>61</v>
      </c>
      <c r="B62" t="s">
        <v>98</v>
      </c>
      <c r="C62" t="s">
        <v>6</v>
      </c>
      <c r="D62">
        <v>569</v>
      </c>
      <c r="E62">
        <f t="shared" si="0"/>
        <v>1</v>
      </c>
      <c r="F62" s="2" t="str">
        <f t="shared" si="1"/>
        <v/>
      </c>
      <c r="G62" s="2">
        <f>IF(E62=1,SUM(F$3:$F61),"")</f>
        <v>0.99121399513515496</v>
      </c>
    </row>
    <row r="63" spans="1:7" x14ac:dyDescent="0.3">
      <c r="A63">
        <v>62</v>
      </c>
      <c r="B63" t="s">
        <v>99</v>
      </c>
      <c r="C63" t="s">
        <v>7</v>
      </c>
      <c r="D63">
        <v>565</v>
      </c>
      <c r="E63">
        <f t="shared" si="0"/>
        <v>0</v>
      </c>
      <c r="F63" s="2">
        <f t="shared" si="1"/>
        <v>1.6129032258064516E-2</v>
      </c>
      <c r="G63" s="2" t="str">
        <f>IF(E63=1,SUM(F$3:$F62),"")</f>
        <v/>
      </c>
    </row>
    <row r="64" spans="1:7" x14ac:dyDescent="0.3">
      <c r="A64">
        <v>63</v>
      </c>
      <c r="B64" t="s">
        <v>126</v>
      </c>
      <c r="C64" t="s">
        <v>4</v>
      </c>
      <c r="D64">
        <v>561</v>
      </c>
      <c r="E64">
        <f t="shared" si="0"/>
        <v>0</v>
      </c>
      <c r="F64" s="2">
        <f t="shared" si="1"/>
        <v>1.5873015873015872E-2</v>
      </c>
      <c r="G64" s="2" t="str">
        <f>IF(E64=1,SUM(F$3:$F63),"")</f>
        <v/>
      </c>
    </row>
    <row r="65" spans="1:7" x14ac:dyDescent="0.3">
      <c r="A65">
        <v>64</v>
      </c>
      <c r="B65" t="s">
        <v>48</v>
      </c>
      <c r="C65" t="s">
        <v>5</v>
      </c>
      <c r="D65">
        <v>557</v>
      </c>
      <c r="E65">
        <f t="shared" si="0"/>
        <v>0</v>
      </c>
      <c r="F65" s="2">
        <f t="shared" si="1"/>
        <v>1.5625E-2</v>
      </c>
      <c r="G65" s="2" t="str">
        <f>IF(E65=1,SUM(F$3:$F64),"")</f>
        <v/>
      </c>
    </row>
    <row r="66" spans="1:7" x14ac:dyDescent="0.3">
      <c r="A66">
        <v>65</v>
      </c>
      <c r="B66" t="s">
        <v>105</v>
      </c>
      <c r="C66" t="s">
        <v>4</v>
      </c>
      <c r="D66">
        <v>553</v>
      </c>
      <c r="E66">
        <f t="shared" si="0"/>
        <v>0</v>
      </c>
      <c r="F66" s="2">
        <f t="shared" si="1"/>
        <v>1.5384615384615385E-2</v>
      </c>
      <c r="G66" s="2" t="str">
        <f>IF(E66=1,SUM(F$3:$F65),"")</f>
        <v/>
      </c>
    </row>
    <row r="67" spans="1:7" x14ac:dyDescent="0.3">
      <c r="A67">
        <v>66</v>
      </c>
      <c r="B67" t="s">
        <v>70</v>
      </c>
      <c r="C67" t="s">
        <v>5</v>
      </c>
      <c r="D67">
        <v>550</v>
      </c>
      <c r="E67">
        <f t="shared" ref="E67:E76" si="2">IF(COUNTIF($I$2:$I$33,B67)&gt;0,1,0)</f>
        <v>0</v>
      </c>
      <c r="F67" s="2">
        <f t="shared" ref="F67:F76" si="3">IF(E67=1,"",1/A67)</f>
        <v>1.5151515151515152E-2</v>
      </c>
      <c r="G67" s="2" t="str">
        <f>IF(E67=1,SUM(F$3:$F66),"")</f>
        <v/>
      </c>
    </row>
    <row r="68" spans="1:7" x14ac:dyDescent="0.3">
      <c r="A68">
        <v>67</v>
      </c>
      <c r="B68" t="s">
        <v>54</v>
      </c>
      <c r="C68" t="s">
        <v>6</v>
      </c>
      <c r="D68">
        <v>550</v>
      </c>
      <c r="E68">
        <f t="shared" si="2"/>
        <v>0</v>
      </c>
      <c r="F68" s="2">
        <f t="shared" si="3"/>
        <v>1.4925373134328358E-2</v>
      </c>
      <c r="G68" s="2" t="str">
        <f>IF(E68=1,SUM(F$3:$F67),"")</f>
        <v/>
      </c>
    </row>
    <row r="69" spans="1:7" x14ac:dyDescent="0.3">
      <c r="A69">
        <v>68</v>
      </c>
      <c r="B69" t="s">
        <v>63</v>
      </c>
      <c r="C69" t="s">
        <v>9</v>
      </c>
      <c r="D69">
        <v>545</v>
      </c>
      <c r="E69">
        <f t="shared" si="2"/>
        <v>0</v>
      </c>
      <c r="F69" s="2">
        <f t="shared" si="3"/>
        <v>1.4705882352941176E-2</v>
      </c>
      <c r="G69" s="2" t="str">
        <f>IF(E69=1,SUM(F$3:$F68),"")</f>
        <v/>
      </c>
    </row>
    <row r="70" spans="1:7" x14ac:dyDescent="0.3">
      <c r="A70">
        <v>69</v>
      </c>
      <c r="B70" t="s">
        <v>123</v>
      </c>
      <c r="C70" t="s">
        <v>6</v>
      </c>
      <c r="D70">
        <v>544</v>
      </c>
      <c r="E70">
        <f t="shared" si="2"/>
        <v>0</v>
      </c>
      <c r="F70" s="2">
        <f t="shared" si="3"/>
        <v>1.4492753623188406E-2</v>
      </c>
      <c r="G70" s="2" t="str">
        <f>IF(E70=1,SUM(F$3:$F69),"")</f>
        <v/>
      </c>
    </row>
    <row r="71" spans="1:7" x14ac:dyDescent="0.3">
      <c r="A71">
        <v>70</v>
      </c>
      <c r="B71" t="s">
        <v>106</v>
      </c>
      <c r="C71" t="s">
        <v>4</v>
      </c>
      <c r="D71">
        <v>541</v>
      </c>
      <c r="E71">
        <f t="shared" si="2"/>
        <v>0</v>
      </c>
      <c r="F71" s="2">
        <f t="shared" si="3"/>
        <v>1.4285714285714285E-2</v>
      </c>
      <c r="G71" s="2" t="str">
        <f>IF(E71=1,SUM(F$3:$F70),"")</f>
        <v/>
      </c>
    </row>
    <row r="72" spans="1:7" x14ac:dyDescent="0.3">
      <c r="A72">
        <v>71</v>
      </c>
      <c r="B72" t="s">
        <v>101</v>
      </c>
      <c r="C72" t="s">
        <v>4</v>
      </c>
      <c r="D72">
        <v>539</v>
      </c>
      <c r="E72">
        <f t="shared" si="2"/>
        <v>0</v>
      </c>
      <c r="F72" s="2">
        <f t="shared" si="3"/>
        <v>1.4084507042253521E-2</v>
      </c>
      <c r="G72" s="2" t="str">
        <f>IF(E72=1,SUM(F$3:$F71),"")</f>
        <v/>
      </c>
    </row>
    <row r="73" spans="1:7" x14ac:dyDescent="0.3">
      <c r="A73">
        <v>72</v>
      </c>
      <c r="B73" t="s">
        <v>107</v>
      </c>
      <c r="C73" t="s">
        <v>5</v>
      </c>
      <c r="D73">
        <v>539</v>
      </c>
      <c r="E73">
        <f t="shared" si="2"/>
        <v>0</v>
      </c>
      <c r="F73" s="2">
        <f t="shared" si="3"/>
        <v>1.3888888888888888E-2</v>
      </c>
      <c r="G73" s="2" t="str">
        <f>IF(E73=1,SUM(F$3:$F72),"")</f>
        <v/>
      </c>
    </row>
    <row r="74" spans="1:7" x14ac:dyDescent="0.3">
      <c r="A74">
        <v>73</v>
      </c>
      <c r="B74" t="s">
        <v>82</v>
      </c>
      <c r="C74" t="s">
        <v>9</v>
      </c>
      <c r="D74">
        <v>539</v>
      </c>
      <c r="E74">
        <f t="shared" si="2"/>
        <v>0</v>
      </c>
      <c r="F74" s="2">
        <f t="shared" si="3"/>
        <v>1.3698630136986301E-2</v>
      </c>
      <c r="G74" s="2" t="str">
        <f>IF(E74=1,SUM(F$3:$F73),"")</f>
        <v/>
      </c>
    </row>
    <row r="75" spans="1:7" x14ac:dyDescent="0.3">
      <c r="A75">
        <v>74</v>
      </c>
      <c r="B75" t="s">
        <v>43</v>
      </c>
      <c r="C75" t="s">
        <v>4</v>
      </c>
      <c r="D75">
        <v>538</v>
      </c>
      <c r="E75">
        <f t="shared" si="2"/>
        <v>0</v>
      </c>
      <c r="F75" s="2">
        <f t="shared" si="3"/>
        <v>1.3513513513513514E-2</v>
      </c>
      <c r="G75" s="2" t="str">
        <f>IF(E75=1,SUM(F$3:$F74),"")</f>
        <v/>
      </c>
    </row>
    <row r="76" spans="1:7" x14ac:dyDescent="0.3">
      <c r="A76">
        <v>75</v>
      </c>
      <c r="B76" t="s">
        <v>77</v>
      </c>
      <c r="C76" t="s">
        <v>9</v>
      </c>
      <c r="D76">
        <v>538</v>
      </c>
      <c r="E76">
        <f t="shared" si="2"/>
        <v>0</v>
      </c>
      <c r="F76" s="2">
        <f t="shared" si="3"/>
        <v>1.3333333333333334E-2</v>
      </c>
      <c r="G76" s="2" t="str">
        <f>IF(E76=1,SUM(F$3:$F75),"")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EE63-DFF0-4DC5-94EB-0DA0326CB0FA}">
  <dimension ref="A1:L76"/>
  <sheetViews>
    <sheetView workbookViewId="0">
      <selection activeCell="J10" sqref="J10"/>
    </sheetView>
  </sheetViews>
  <sheetFormatPr defaultRowHeight="14.4" x14ac:dyDescent="0.3"/>
  <cols>
    <col min="1" max="1" width="3" bestFit="1" customWidth="1"/>
    <col min="2" max="2" width="17.21875" bestFit="1" customWidth="1"/>
    <col min="3" max="3" width="12.77734375" bestFit="1" customWidth="1"/>
    <col min="4" max="4" width="6.21875" bestFit="1" customWidth="1"/>
    <col min="5" max="5" width="9.6640625" bestFit="1" customWidth="1"/>
    <col min="6" max="6" width="7.21875" bestFit="1" customWidth="1"/>
    <col min="7" max="7" width="15.77734375" bestFit="1" customWidth="1"/>
    <col min="9" max="9" width="11.5546875" bestFit="1" customWidth="1"/>
    <col min="11" max="11" width="32.5546875" bestFit="1" customWidth="1"/>
    <col min="12" max="12" width="5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85</v>
      </c>
      <c r="F1" s="1" t="s">
        <v>87</v>
      </c>
      <c r="G1" s="1" t="s">
        <v>141</v>
      </c>
      <c r="I1" s="1" t="s">
        <v>84</v>
      </c>
    </row>
    <row r="2" spans="1:12" x14ac:dyDescent="0.3">
      <c r="A2">
        <v>1</v>
      </c>
      <c r="B2" t="s">
        <v>19</v>
      </c>
      <c r="C2" t="s">
        <v>5</v>
      </c>
      <c r="D2">
        <v>1611</v>
      </c>
      <c r="E2">
        <f>IF(COUNTIF($I$2:$I$33,B2)&gt;0,1,0)</f>
        <v>1</v>
      </c>
      <c r="F2" s="2" t="str">
        <f>IF(E2=1,"",1/A2)</f>
        <v/>
      </c>
      <c r="G2" s="2">
        <v>0</v>
      </c>
      <c r="I2" s="4" t="s">
        <v>89</v>
      </c>
    </row>
    <row r="3" spans="1:12" x14ac:dyDescent="0.3">
      <c r="A3">
        <v>2</v>
      </c>
      <c r="B3" t="s">
        <v>21</v>
      </c>
      <c r="C3" t="s">
        <v>4</v>
      </c>
      <c r="D3">
        <v>1565</v>
      </c>
      <c r="E3">
        <f t="shared" ref="E3:E66" si="0">IF(COUNTIF($I$2:$I$33,B3)&gt;0,1,0)</f>
        <v>1</v>
      </c>
      <c r="F3" s="2" t="str">
        <f t="shared" ref="F3:F66" si="1">IF(E3=1,"",1/A3)</f>
        <v/>
      </c>
      <c r="G3" s="2">
        <f>IF(E3=1,SUM(F2:$F$3),"")</f>
        <v>0</v>
      </c>
      <c r="I3" t="s">
        <v>57</v>
      </c>
      <c r="K3" s="3" t="s">
        <v>131</v>
      </c>
      <c r="L3" s="2">
        <f>SUM(F:F)*(COUNTA(I:I)-1)</f>
        <v>38.006083153770525</v>
      </c>
    </row>
    <row r="4" spans="1:12" x14ac:dyDescent="0.3">
      <c r="A4">
        <v>3</v>
      </c>
      <c r="B4" t="s">
        <v>32</v>
      </c>
      <c r="C4" t="s">
        <v>4</v>
      </c>
      <c r="D4">
        <v>1249</v>
      </c>
      <c r="E4">
        <f t="shared" si="0"/>
        <v>1</v>
      </c>
      <c r="F4" s="2" t="str">
        <f t="shared" si="1"/>
        <v/>
      </c>
      <c r="G4" s="2">
        <f>IF(E4=1,SUM(F3:$F$3),"")</f>
        <v>0</v>
      </c>
      <c r="I4" t="s">
        <v>52</v>
      </c>
      <c r="K4" t="s">
        <v>136</v>
      </c>
      <c r="L4" s="2">
        <f>SUMIF(C:C,"UEFA",G:G)/COUNTIFS(C:C,"UEFA",E:E,1)*100</f>
        <v>17.751387888626962</v>
      </c>
    </row>
    <row r="5" spans="1:12" x14ac:dyDescent="0.3">
      <c r="A5">
        <v>4</v>
      </c>
      <c r="B5" t="s">
        <v>18</v>
      </c>
      <c r="C5" t="s">
        <v>4</v>
      </c>
      <c r="D5">
        <v>1231</v>
      </c>
      <c r="E5">
        <f t="shared" si="0"/>
        <v>1</v>
      </c>
      <c r="F5" s="2" t="str">
        <f t="shared" si="1"/>
        <v/>
      </c>
      <c r="G5" s="2">
        <f>IF(E5=1,SUM(F$3:$F4),"")</f>
        <v>0</v>
      </c>
      <c r="I5" t="s">
        <v>45</v>
      </c>
      <c r="K5" t="s">
        <v>135</v>
      </c>
      <c r="L5" s="2">
        <f>SUMIF(C:C,"CONMEBOL",G:G)/COUNTIFS(C:C,"CONMEBOL",E:E,1)*100</f>
        <v>20.406373236957943</v>
      </c>
    </row>
    <row r="6" spans="1:12" x14ac:dyDescent="0.3">
      <c r="A6">
        <v>5</v>
      </c>
      <c r="B6" t="s">
        <v>20</v>
      </c>
      <c r="C6" t="s">
        <v>4</v>
      </c>
      <c r="D6">
        <v>1184</v>
      </c>
      <c r="E6">
        <f t="shared" si="0"/>
        <v>1</v>
      </c>
      <c r="F6" s="2" t="str">
        <f t="shared" si="1"/>
        <v/>
      </c>
      <c r="G6" s="2">
        <f>IF(E6=1,SUM(F$3:$F5),"")</f>
        <v>0</v>
      </c>
      <c r="I6" t="s">
        <v>18</v>
      </c>
      <c r="K6" t="s">
        <v>134</v>
      </c>
      <c r="L6" s="2">
        <f>SUMIF(C:C,"CONCACAF",G:G)/COUNTIFS(C:C,"CONCACAF",E:E,1)*100</f>
        <v>36.874004924979431</v>
      </c>
    </row>
    <row r="7" spans="1:12" x14ac:dyDescent="0.3">
      <c r="A7">
        <v>6</v>
      </c>
      <c r="B7" t="s">
        <v>17</v>
      </c>
      <c r="C7" t="s">
        <v>4</v>
      </c>
      <c r="D7">
        <v>1082</v>
      </c>
      <c r="E7">
        <f t="shared" si="0"/>
        <v>1</v>
      </c>
      <c r="F7" s="2" t="str">
        <f t="shared" si="1"/>
        <v/>
      </c>
      <c r="G7" s="2">
        <f>IF(E7=1,SUM(F$3:$F6),"")</f>
        <v>0</v>
      </c>
      <c r="I7" s="4" t="s">
        <v>74</v>
      </c>
      <c r="K7" t="s">
        <v>133</v>
      </c>
      <c r="L7" s="2">
        <f>SUMIF(C:C,"CAF",G:G)/COUNTIFS(C:C,"CAF",E:E,1)*100</f>
        <v>37.875784884780387</v>
      </c>
    </row>
    <row r="8" spans="1:12" x14ac:dyDescent="0.3">
      <c r="A8">
        <v>7</v>
      </c>
      <c r="B8" t="s">
        <v>16</v>
      </c>
      <c r="C8" t="s">
        <v>5</v>
      </c>
      <c r="D8">
        <v>1076</v>
      </c>
      <c r="E8">
        <f t="shared" si="0"/>
        <v>1</v>
      </c>
      <c r="F8" s="2" t="str">
        <f t="shared" si="1"/>
        <v/>
      </c>
      <c r="G8" s="2">
        <f>IF(E8=1,SUM(F$3:$F7),"")</f>
        <v>0</v>
      </c>
      <c r="I8" t="s">
        <v>19</v>
      </c>
      <c r="K8" t="s">
        <v>132</v>
      </c>
      <c r="L8" s="2">
        <f>SUMIF(C:C,"AFC",G:G)/COUNTIFS(C:C,"AFC",E:E,1)*100</f>
        <v>56.703330442459176</v>
      </c>
    </row>
    <row r="9" spans="1:12" x14ac:dyDescent="0.3">
      <c r="A9">
        <v>8</v>
      </c>
      <c r="B9" t="s">
        <v>27</v>
      </c>
      <c r="C9" t="s">
        <v>4</v>
      </c>
      <c r="D9">
        <v>1068</v>
      </c>
      <c r="E9">
        <f t="shared" si="0"/>
        <v>1</v>
      </c>
      <c r="F9" s="2" t="str">
        <f t="shared" si="1"/>
        <v/>
      </c>
      <c r="G9" s="2">
        <f>IF(E9=1,SUM(F$3:$F8),"")</f>
        <v>0</v>
      </c>
      <c r="I9" t="s">
        <v>35</v>
      </c>
    </row>
    <row r="10" spans="1:12" x14ac:dyDescent="0.3">
      <c r="A10">
        <v>9</v>
      </c>
      <c r="B10" t="s">
        <v>26</v>
      </c>
      <c r="C10" t="s">
        <v>4</v>
      </c>
      <c r="D10">
        <v>1044</v>
      </c>
      <c r="E10">
        <f t="shared" si="0"/>
        <v>1</v>
      </c>
      <c r="F10" s="2" t="str">
        <f t="shared" si="1"/>
        <v/>
      </c>
      <c r="G10" s="2">
        <f>IF(E10=1,SUM(F$3:$F9),"")</f>
        <v>0</v>
      </c>
      <c r="I10" t="s">
        <v>27</v>
      </c>
    </row>
    <row r="11" spans="1:12" x14ac:dyDescent="0.3">
      <c r="A11">
        <v>10</v>
      </c>
      <c r="B11" t="s">
        <v>88</v>
      </c>
      <c r="C11" t="s">
        <v>4</v>
      </c>
      <c r="D11">
        <v>1041</v>
      </c>
      <c r="E11">
        <f t="shared" si="0"/>
        <v>0</v>
      </c>
      <c r="F11" s="2">
        <f t="shared" si="1"/>
        <v>0.1</v>
      </c>
      <c r="G11" s="2" t="str">
        <f>IF(E11=1,SUM(F$3:$F10),"")</f>
        <v/>
      </c>
      <c r="I11" t="s">
        <v>21</v>
      </c>
    </row>
    <row r="12" spans="1:12" x14ac:dyDescent="0.3">
      <c r="A12">
        <v>11</v>
      </c>
      <c r="B12" t="s">
        <v>10</v>
      </c>
      <c r="C12" t="s">
        <v>4</v>
      </c>
      <c r="D12">
        <v>1015</v>
      </c>
      <c r="E12">
        <f t="shared" si="0"/>
        <v>0</v>
      </c>
      <c r="F12" s="2">
        <f t="shared" si="1"/>
        <v>9.0909090909090912E-2</v>
      </c>
      <c r="G12" s="2" t="str">
        <f>IF(E12=1,SUM(F$3:$F11),"")</f>
        <v/>
      </c>
      <c r="I12" t="s">
        <v>64</v>
      </c>
    </row>
    <row r="13" spans="1:12" x14ac:dyDescent="0.3">
      <c r="A13">
        <v>12</v>
      </c>
      <c r="B13" t="s">
        <v>34</v>
      </c>
      <c r="C13" t="s">
        <v>6</v>
      </c>
      <c r="D13">
        <v>967</v>
      </c>
      <c r="E13">
        <f t="shared" si="0"/>
        <v>0</v>
      </c>
      <c r="F13" s="2">
        <f t="shared" si="1"/>
        <v>8.3333333333333329E-2</v>
      </c>
      <c r="G13" s="2" t="str">
        <f>IF(E13=1,SUM(F$3:$F12),"")</f>
        <v/>
      </c>
      <c r="I13" t="s">
        <v>31</v>
      </c>
    </row>
    <row r="14" spans="1:12" x14ac:dyDescent="0.3">
      <c r="A14">
        <v>13</v>
      </c>
      <c r="B14" t="s">
        <v>39</v>
      </c>
      <c r="C14" t="s">
        <v>4</v>
      </c>
      <c r="D14">
        <v>964</v>
      </c>
      <c r="E14">
        <f t="shared" si="0"/>
        <v>1</v>
      </c>
      <c r="F14" s="2" t="str">
        <f t="shared" si="1"/>
        <v/>
      </c>
      <c r="G14" s="2">
        <f>IF(E14=1,SUM(F$3:$F13),"")</f>
        <v>0.27424242424242423</v>
      </c>
      <c r="I14" t="s">
        <v>17</v>
      </c>
    </row>
    <row r="15" spans="1:12" x14ac:dyDescent="0.3">
      <c r="A15">
        <v>14</v>
      </c>
      <c r="B15" t="s">
        <v>79</v>
      </c>
      <c r="C15" t="s">
        <v>7</v>
      </c>
      <c r="D15">
        <v>957</v>
      </c>
      <c r="E15">
        <f t="shared" si="0"/>
        <v>1</v>
      </c>
      <c r="F15" s="2" t="str">
        <f t="shared" si="1"/>
        <v/>
      </c>
      <c r="G15" s="2">
        <f>IF(E15=1,SUM(F$3:$F14),"")</f>
        <v>0.27424242424242423</v>
      </c>
      <c r="I15" t="s">
        <v>23</v>
      </c>
    </row>
    <row r="16" spans="1:12" x14ac:dyDescent="0.3">
      <c r="A16">
        <v>15</v>
      </c>
      <c r="B16" t="s">
        <v>108</v>
      </c>
      <c r="C16" t="s">
        <v>4</v>
      </c>
      <c r="D16">
        <v>947</v>
      </c>
      <c r="E16">
        <f t="shared" si="0"/>
        <v>1</v>
      </c>
      <c r="F16" s="2" t="str">
        <f t="shared" si="1"/>
        <v/>
      </c>
      <c r="G16" s="2">
        <f>IF(E16=1,SUM(F$3:$F15),"")</f>
        <v>0.27424242424242423</v>
      </c>
      <c r="I16" t="s">
        <v>108</v>
      </c>
    </row>
    <row r="17" spans="1:9" x14ac:dyDescent="0.3">
      <c r="A17">
        <v>16</v>
      </c>
      <c r="B17" t="s">
        <v>29</v>
      </c>
      <c r="C17" t="s">
        <v>5</v>
      </c>
      <c r="D17">
        <v>899</v>
      </c>
      <c r="E17">
        <f t="shared" si="0"/>
        <v>1</v>
      </c>
      <c r="F17" s="2" t="str">
        <f t="shared" si="1"/>
        <v/>
      </c>
      <c r="G17" s="2">
        <f>IF(E17=1,SUM(F$3:$F16),"")</f>
        <v>0.27424242424242423</v>
      </c>
      <c r="I17" t="s">
        <v>20</v>
      </c>
    </row>
    <row r="18" spans="1:9" x14ac:dyDescent="0.3">
      <c r="A18">
        <v>17</v>
      </c>
      <c r="B18" t="s">
        <v>28</v>
      </c>
      <c r="C18" t="s">
        <v>7</v>
      </c>
      <c r="D18">
        <v>895</v>
      </c>
      <c r="E18">
        <f t="shared" si="0"/>
        <v>1</v>
      </c>
      <c r="F18" s="2" t="str">
        <f t="shared" si="1"/>
        <v/>
      </c>
      <c r="G18" s="2">
        <f>IF(E18=1,SUM(F$3:$F17),"")</f>
        <v>0.27424242424242423</v>
      </c>
      <c r="I18" t="s">
        <v>48</v>
      </c>
    </row>
    <row r="19" spans="1:9" x14ac:dyDescent="0.3">
      <c r="A19">
        <v>18</v>
      </c>
      <c r="B19" t="s">
        <v>48</v>
      </c>
      <c r="C19" t="s">
        <v>5</v>
      </c>
      <c r="D19">
        <v>888</v>
      </c>
      <c r="E19">
        <f t="shared" si="0"/>
        <v>1</v>
      </c>
      <c r="F19" s="2" t="str">
        <f t="shared" si="1"/>
        <v/>
      </c>
      <c r="G19" s="2">
        <f>IF(E19=1,SUM(F$3:$F18),"")</f>
        <v>0.27424242424242423</v>
      </c>
      <c r="I19" t="s">
        <v>28</v>
      </c>
    </row>
    <row r="20" spans="1:9" x14ac:dyDescent="0.3">
      <c r="A20">
        <v>19</v>
      </c>
      <c r="B20" t="s">
        <v>33</v>
      </c>
      <c r="C20" t="s">
        <v>6</v>
      </c>
      <c r="D20">
        <v>887</v>
      </c>
      <c r="E20">
        <f t="shared" si="0"/>
        <v>1</v>
      </c>
      <c r="F20" s="2" t="str">
        <f t="shared" si="1"/>
        <v/>
      </c>
      <c r="G20" s="2">
        <f>IF(E20=1,SUM(F$3:$F19),"")</f>
        <v>0.27424242424242423</v>
      </c>
      <c r="I20" t="s">
        <v>79</v>
      </c>
    </row>
    <row r="21" spans="1:9" x14ac:dyDescent="0.3">
      <c r="A21">
        <v>20</v>
      </c>
      <c r="B21" t="s">
        <v>52</v>
      </c>
      <c r="C21" t="s">
        <v>9</v>
      </c>
      <c r="D21">
        <v>886</v>
      </c>
      <c r="E21">
        <f t="shared" si="0"/>
        <v>1</v>
      </c>
      <c r="F21" s="2" t="str">
        <f t="shared" si="1"/>
        <v/>
      </c>
      <c r="G21" s="2">
        <f>IF(E21=1,SUM(F$3:$F20),"")</f>
        <v>0.27424242424242423</v>
      </c>
      <c r="I21" t="s">
        <v>25</v>
      </c>
    </row>
    <row r="22" spans="1:9" x14ac:dyDescent="0.3">
      <c r="A22">
        <v>21</v>
      </c>
      <c r="B22" t="s">
        <v>13</v>
      </c>
      <c r="C22" t="s">
        <v>6</v>
      </c>
      <c r="D22">
        <v>883</v>
      </c>
      <c r="E22">
        <f t="shared" si="0"/>
        <v>1</v>
      </c>
      <c r="F22" s="2" t="str">
        <f t="shared" si="1"/>
        <v/>
      </c>
      <c r="G22" s="2">
        <f>IF(E22=1,SUM(F$3:$F21),"")</f>
        <v>0.27424242424242423</v>
      </c>
      <c r="I22" t="s">
        <v>50</v>
      </c>
    </row>
    <row r="23" spans="1:9" x14ac:dyDescent="0.3">
      <c r="A23">
        <v>22</v>
      </c>
      <c r="B23" t="s">
        <v>22</v>
      </c>
      <c r="C23" t="s">
        <v>4</v>
      </c>
      <c r="D23">
        <v>882</v>
      </c>
      <c r="E23">
        <f t="shared" si="0"/>
        <v>0</v>
      </c>
      <c r="F23" s="2">
        <f t="shared" si="1"/>
        <v>4.5454545454545456E-2</v>
      </c>
      <c r="G23" s="2" t="str">
        <f>IF(E23=1,SUM(F$3:$F22),"")</f>
        <v/>
      </c>
      <c r="I23" t="s">
        <v>16</v>
      </c>
    </row>
    <row r="24" spans="1:9" x14ac:dyDescent="0.3">
      <c r="A24">
        <v>23</v>
      </c>
      <c r="B24" t="s">
        <v>94</v>
      </c>
      <c r="C24" t="s">
        <v>4</v>
      </c>
      <c r="D24">
        <v>875</v>
      </c>
      <c r="E24">
        <f t="shared" si="0"/>
        <v>0</v>
      </c>
      <c r="F24" s="2">
        <f t="shared" si="1"/>
        <v>4.3478260869565216E-2</v>
      </c>
      <c r="G24" s="2" t="str">
        <f>IF(E24=1,SUM(F$3:$F23),"")</f>
        <v/>
      </c>
      <c r="I24" t="s">
        <v>55</v>
      </c>
    </row>
    <row r="25" spans="1:9" x14ac:dyDescent="0.3">
      <c r="A25">
        <v>24</v>
      </c>
      <c r="B25" t="s">
        <v>25</v>
      </c>
      <c r="C25" t="s">
        <v>4</v>
      </c>
      <c r="D25">
        <v>866</v>
      </c>
      <c r="E25">
        <f t="shared" si="0"/>
        <v>1</v>
      </c>
      <c r="F25" s="2" t="str">
        <f t="shared" si="1"/>
        <v/>
      </c>
      <c r="G25" s="2">
        <f>IF(E25=1,SUM(F$3:$F24),"")</f>
        <v>0.36317523056653489</v>
      </c>
      <c r="I25" s="4" t="s">
        <v>128</v>
      </c>
    </row>
    <row r="26" spans="1:9" x14ac:dyDescent="0.3">
      <c r="A26">
        <v>25</v>
      </c>
      <c r="B26" t="s">
        <v>101</v>
      </c>
      <c r="C26" t="s">
        <v>4</v>
      </c>
      <c r="D26">
        <v>860</v>
      </c>
      <c r="E26">
        <f t="shared" si="0"/>
        <v>1</v>
      </c>
      <c r="F26" s="2" t="str">
        <f t="shared" si="1"/>
        <v/>
      </c>
      <c r="G26" s="2">
        <f>IF(E26=1,SUM(F$3:$F25),"")</f>
        <v>0.36317523056653489</v>
      </c>
      <c r="I26" t="s">
        <v>13</v>
      </c>
    </row>
    <row r="27" spans="1:9" x14ac:dyDescent="0.3">
      <c r="A27">
        <v>26</v>
      </c>
      <c r="B27" t="s">
        <v>58</v>
      </c>
      <c r="C27" t="s">
        <v>4</v>
      </c>
      <c r="D27">
        <v>857</v>
      </c>
      <c r="E27">
        <f t="shared" si="0"/>
        <v>0</v>
      </c>
      <c r="F27" s="2">
        <f t="shared" si="1"/>
        <v>3.8461538461538464E-2</v>
      </c>
      <c r="G27" s="2" t="str">
        <f>IF(E27=1,SUM(F$3:$F26),"")</f>
        <v/>
      </c>
      <c r="I27" t="s">
        <v>33</v>
      </c>
    </row>
    <row r="28" spans="1:9" x14ac:dyDescent="0.3">
      <c r="A28">
        <v>27</v>
      </c>
      <c r="B28" t="s">
        <v>31</v>
      </c>
      <c r="C28" t="s">
        <v>6</v>
      </c>
      <c r="D28">
        <v>856</v>
      </c>
      <c r="E28">
        <f t="shared" si="0"/>
        <v>1</v>
      </c>
      <c r="F28" s="2" t="str">
        <f t="shared" si="1"/>
        <v/>
      </c>
      <c r="G28" s="2">
        <f>IF(E28=1,SUM(F$3:$F27),"")</f>
        <v>0.40163676902807333</v>
      </c>
      <c r="I28" t="s">
        <v>53</v>
      </c>
    </row>
    <row r="29" spans="1:9" x14ac:dyDescent="0.3">
      <c r="A29">
        <v>28</v>
      </c>
      <c r="B29" t="s">
        <v>14</v>
      </c>
      <c r="C29" t="s">
        <v>4</v>
      </c>
      <c r="D29">
        <v>853</v>
      </c>
      <c r="E29">
        <f t="shared" si="0"/>
        <v>0</v>
      </c>
      <c r="F29" s="2">
        <f t="shared" si="1"/>
        <v>3.5714285714285712E-2</v>
      </c>
      <c r="G29" s="2" t="str">
        <f>IF(E29=1,SUM(F$3:$F28),"")</f>
        <v/>
      </c>
      <c r="I29" t="s">
        <v>39</v>
      </c>
    </row>
    <row r="30" spans="1:9" x14ac:dyDescent="0.3">
      <c r="A30">
        <v>29</v>
      </c>
      <c r="B30" t="s">
        <v>129</v>
      </c>
      <c r="C30" t="s">
        <v>4</v>
      </c>
      <c r="D30">
        <v>830</v>
      </c>
      <c r="E30">
        <f t="shared" si="0"/>
        <v>0</v>
      </c>
      <c r="F30" s="2">
        <f t="shared" si="1"/>
        <v>3.4482758620689655E-2</v>
      </c>
      <c r="G30" s="2" t="str">
        <f>IF(E30=1,SUM(F$3:$F29),"")</f>
        <v/>
      </c>
      <c r="I30" t="s">
        <v>101</v>
      </c>
    </row>
    <row r="31" spans="1:9" x14ac:dyDescent="0.3">
      <c r="A31">
        <v>30</v>
      </c>
      <c r="B31" t="s">
        <v>53</v>
      </c>
      <c r="C31" t="s">
        <v>6</v>
      </c>
      <c r="D31">
        <v>821</v>
      </c>
      <c r="E31">
        <f t="shared" si="0"/>
        <v>1</v>
      </c>
      <c r="F31" s="2" t="str">
        <f t="shared" si="1"/>
        <v/>
      </c>
      <c r="G31" s="2">
        <f>IF(E31=1,SUM(F$3:$F30),"")</f>
        <v>0.47183381336304869</v>
      </c>
      <c r="I31" t="s">
        <v>32</v>
      </c>
    </row>
    <row r="32" spans="1:9" x14ac:dyDescent="0.3">
      <c r="A32">
        <v>31</v>
      </c>
      <c r="B32" t="s">
        <v>64</v>
      </c>
      <c r="C32" t="s">
        <v>5</v>
      </c>
      <c r="D32">
        <v>820</v>
      </c>
      <c r="E32">
        <f t="shared" si="0"/>
        <v>1</v>
      </c>
      <c r="F32" s="2" t="str">
        <f t="shared" si="1"/>
        <v/>
      </c>
      <c r="G32" s="2">
        <f>IF(E32=1,SUM(F$3:$F31),"")</f>
        <v>0.47183381336304869</v>
      </c>
      <c r="I32" t="s">
        <v>26</v>
      </c>
    </row>
    <row r="33" spans="1:9" x14ac:dyDescent="0.3">
      <c r="A33">
        <v>32</v>
      </c>
      <c r="B33" t="s">
        <v>35</v>
      </c>
      <c r="C33" t="s">
        <v>6</v>
      </c>
      <c r="D33">
        <v>800</v>
      </c>
      <c r="E33">
        <f t="shared" si="0"/>
        <v>1</v>
      </c>
      <c r="F33" s="2" t="str">
        <f t="shared" si="1"/>
        <v/>
      </c>
      <c r="G33" s="2">
        <f>IF(E33=1,SUM(F$3:$F32),"")</f>
        <v>0.47183381336304869</v>
      </c>
      <c r="I33" t="s">
        <v>29</v>
      </c>
    </row>
    <row r="34" spans="1:9" x14ac:dyDescent="0.3">
      <c r="A34">
        <v>33</v>
      </c>
      <c r="B34" t="s">
        <v>81</v>
      </c>
      <c r="C34" t="s">
        <v>4</v>
      </c>
      <c r="D34">
        <v>793</v>
      </c>
      <c r="E34">
        <f t="shared" si="0"/>
        <v>0</v>
      </c>
      <c r="F34" s="2">
        <f t="shared" si="1"/>
        <v>3.0303030303030304E-2</v>
      </c>
      <c r="G34" s="2" t="str">
        <f>IF(E34=1,SUM(F$3:$F33),"")</f>
        <v/>
      </c>
    </row>
    <row r="35" spans="1:9" x14ac:dyDescent="0.3">
      <c r="A35">
        <v>34</v>
      </c>
      <c r="B35" t="s">
        <v>50</v>
      </c>
      <c r="C35" t="s">
        <v>4</v>
      </c>
      <c r="D35">
        <v>777</v>
      </c>
      <c r="E35">
        <f t="shared" si="0"/>
        <v>1</v>
      </c>
      <c r="F35" s="2" t="str">
        <f t="shared" si="1"/>
        <v/>
      </c>
      <c r="G35" s="2">
        <f>IF(E35=1,SUM(F$3:$F34),"")</f>
        <v>0.50213684366607902</v>
      </c>
    </row>
    <row r="36" spans="1:9" x14ac:dyDescent="0.3">
      <c r="A36">
        <v>35</v>
      </c>
      <c r="B36" t="s">
        <v>11</v>
      </c>
      <c r="C36" t="s">
        <v>5</v>
      </c>
      <c r="D36">
        <v>776</v>
      </c>
      <c r="E36">
        <f t="shared" si="0"/>
        <v>0</v>
      </c>
      <c r="F36" s="2">
        <f t="shared" si="1"/>
        <v>2.8571428571428571E-2</v>
      </c>
      <c r="G36" s="2" t="str">
        <f>IF(E36=1,SUM(F$3:$F35),"")</f>
        <v/>
      </c>
    </row>
    <row r="37" spans="1:9" x14ac:dyDescent="0.3">
      <c r="A37">
        <v>36</v>
      </c>
      <c r="B37" t="s">
        <v>23</v>
      </c>
      <c r="C37" t="s">
        <v>4</v>
      </c>
      <c r="D37">
        <v>767</v>
      </c>
      <c r="E37">
        <f t="shared" si="0"/>
        <v>1</v>
      </c>
      <c r="F37" s="2" t="str">
        <f t="shared" si="1"/>
        <v/>
      </c>
      <c r="G37" s="2">
        <f>IF(E37=1,SUM(F$3:$F36),"")</f>
        <v>0.53070827223750761</v>
      </c>
    </row>
    <row r="38" spans="1:9" x14ac:dyDescent="0.3">
      <c r="A38">
        <v>37</v>
      </c>
      <c r="B38" t="s">
        <v>24</v>
      </c>
      <c r="C38" t="s">
        <v>4</v>
      </c>
      <c r="D38">
        <v>761</v>
      </c>
      <c r="E38">
        <f t="shared" si="0"/>
        <v>0</v>
      </c>
      <c r="F38" s="2">
        <f t="shared" si="1"/>
        <v>2.7027027027027029E-2</v>
      </c>
      <c r="G38" s="2" t="str">
        <f>IF(E38=1,SUM(F$3:$F37),"")</f>
        <v/>
      </c>
    </row>
    <row r="39" spans="1:9" x14ac:dyDescent="0.3">
      <c r="A39">
        <v>38</v>
      </c>
      <c r="B39" t="s">
        <v>55</v>
      </c>
      <c r="C39" t="s">
        <v>7</v>
      </c>
      <c r="D39">
        <v>734</v>
      </c>
      <c r="E39">
        <f t="shared" si="0"/>
        <v>1</v>
      </c>
      <c r="F39" s="2" t="str">
        <f t="shared" si="1"/>
        <v/>
      </c>
      <c r="G39" s="2">
        <f>IF(E39=1,SUM(F$3:$F38),"")</f>
        <v>0.55773529926453458</v>
      </c>
    </row>
    <row r="40" spans="1:9" x14ac:dyDescent="0.3">
      <c r="A40">
        <v>39</v>
      </c>
      <c r="B40" t="s">
        <v>15</v>
      </c>
      <c r="C40" t="s">
        <v>4</v>
      </c>
      <c r="D40">
        <v>711</v>
      </c>
      <c r="E40">
        <f t="shared" si="0"/>
        <v>0</v>
      </c>
      <c r="F40" s="2">
        <f t="shared" si="1"/>
        <v>2.564102564102564E-2</v>
      </c>
      <c r="G40" s="2" t="str">
        <f>IF(E40=1,SUM(F$3:$F39),"")</f>
        <v/>
      </c>
    </row>
    <row r="41" spans="1:9" x14ac:dyDescent="0.3">
      <c r="A41">
        <v>40</v>
      </c>
      <c r="B41" t="s">
        <v>56</v>
      </c>
      <c r="C41" t="s">
        <v>7</v>
      </c>
      <c r="D41">
        <v>710</v>
      </c>
      <c r="E41">
        <f t="shared" si="0"/>
        <v>0</v>
      </c>
      <c r="F41" s="2">
        <f t="shared" si="1"/>
        <v>2.5000000000000001E-2</v>
      </c>
      <c r="G41" s="2" t="str">
        <f>IF(E41=1,SUM(F$3:$F40),"")</f>
        <v/>
      </c>
    </row>
    <row r="42" spans="1:9" x14ac:dyDescent="0.3">
      <c r="A42">
        <v>41</v>
      </c>
      <c r="B42" t="s">
        <v>83</v>
      </c>
      <c r="C42" t="s">
        <v>4</v>
      </c>
      <c r="D42">
        <v>709</v>
      </c>
      <c r="E42">
        <f t="shared" si="0"/>
        <v>0</v>
      </c>
      <c r="F42" s="2">
        <f t="shared" si="1"/>
        <v>2.4390243902439025E-2</v>
      </c>
      <c r="G42" s="2" t="str">
        <f>IF(E42=1,SUM(F$3:$F41),"")</f>
        <v/>
      </c>
    </row>
    <row r="43" spans="1:9" x14ac:dyDescent="0.3">
      <c r="A43">
        <v>42</v>
      </c>
      <c r="B43" t="s">
        <v>67</v>
      </c>
      <c r="C43" t="s">
        <v>6</v>
      </c>
      <c r="D43">
        <v>700</v>
      </c>
      <c r="E43">
        <f t="shared" si="0"/>
        <v>0</v>
      </c>
      <c r="F43" s="2">
        <f t="shared" si="1"/>
        <v>2.3809523809523808E-2</v>
      </c>
      <c r="G43" s="2" t="str">
        <f>IF(E43=1,SUM(F$3:$F42),"")</f>
        <v/>
      </c>
    </row>
    <row r="44" spans="1:9" x14ac:dyDescent="0.3">
      <c r="A44">
        <v>43</v>
      </c>
      <c r="B44" t="s">
        <v>41</v>
      </c>
      <c r="C44" t="s">
        <v>4</v>
      </c>
      <c r="D44">
        <v>699</v>
      </c>
      <c r="E44">
        <f t="shared" si="0"/>
        <v>0</v>
      </c>
      <c r="F44" s="2">
        <f t="shared" si="1"/>
        <v>2.3255813953488372E-2</v>
      </c>
      <c r="G44" s="2" t="str">
        <f>IF(E44=1,SUM(F$3:$F43),"")</f>
        <v/>
      </c>
    </row>
    <row r="45" spans="1:9" x14ac:dyDescent="0.3">
      <c r="A45">
        <v>44</v>
      </c>
      <c r="B45" t="s">
        <v>47</v>
      </c>
      <c r="C45" t="s">
        <v>5</v>
      </c>
      <c r="D45">
        <v>694</v>
      </c>
      <c r="E45">
        <f t="shared" si="0"/>
        <v>0</v>
      </c>
      <c r="F45" s="2">
        <f t="shared" si="1"/>
        <v>2.2727272727272728E-2</v>
      </c>
      <c r="G45" s="2" t="str">
        <f>IF(E45=1,SUM(F$3:$F44),"")</f>
        <v/>
      </c>
    </row>
    <row r="46" spans="1:9" x14ac:dyDescent="0.3">
      <c r="A46">
        <v>45</v>
      </c>
      <c r="B46" t="s">
        <v>57</v>
      </c>
      <c r="C46" t="s">
        <v>9</v>
      </c>
      <c r="D46">
        <v>682</v>
      </c>
      <c r="E46">
        <f t="shared" si="0"/>
        <v>1</v>
      </c>
      <c r="F46" s="2" t="str">
        <f t="shared" si="1"/>
        <v/>
      </c>
      <c r="G46" s="2">
        <f>IF(E46=1,SUM(F$3:$F45),"")</f>
        <v>0.70255917929828426</v>
      </c>
    </row>
    <row r="47" spans="1:9" x14ac:dyDescent="0.3">
      <c r="A47">
        <v>46</v>
      </c>
      <c r="B47" t="s">
        <v>106</v>
      </c>
      <c r="C47" t="s">
        <v>4</v>
      </c>
      <c r="D47">
        <v>652</v>
      </c>
      <c r="E47">
        <f t="shared" si="0"/>
        <v>0</v>
      </c>
      <c r="F47" s="2">
        <f t="shared" si="1"/>
        <v>2.1739130434782608E-2</v>
      </c>
      <c r="G47" s="2" t="str">
        <f>IF(E47=1,SUM(F$3:$F46),"")</f>
        <v/>
      </c>
    </row>
    <row r="48" spans="1:9" x14ac:dyDescent="0.3">
      <c r="A48">
        <v>47</v>
      </c>
      <c r="B48" t="s">
        <v>45</v>
      </c>
      <c r="C48" t="s">
        <v>9</v>
      </c>
      <c r="D48">
        <v>632</v>
      </c>
      <c r="E48">
        <f t="shared" si="0"/>
        <v>1</v>
      </c>
      <c r="F48" s="2" t="str">
        <f t="shared" si="1"/>
        <v/>
      </c>
      <c r="G48" s="2">
        <f>IF(E48=1,SUM(F$3:$F47),"")</f>
        <v>0.72429830973306686</v>
      </c>
    </row>
    <row r="49" spans="1:7" x14ac:dyDescent="0.3">
      <c r="A49">
        <v>48</v>
      </c>
      <c r="B49" t="s">
        <v>95</v>
      </c>
      <c r="C49" t="s">
        <v>6</v>
      </c>
      <c r="D49">
        <v>611</v>
      </c>
      <c r="E49">
        <f t="shared" si="0"/>
        <v>0</v>
      </c>
      <c r="F49" s="2">
        <f t="shared" si="1"/>
        <v>2.0833333333333332E-2</v>
      </c>
      <c r="G49" s="2" t="str">
        <f>IF(E49=1,SUM(F$3:$F48),"")</f>
        <v/>
      </c>
    </row>
    <row r="50" spans="1:7" x14ac:dyDescent="0.3">
      <c r="A50">
        <v>49</v>
      </c>
      <c r="B50" t="s">
        <v>90</v>
      </c>
      <c r="C50" t="s">
        <v>4</v>
      </c>
      <c r="D50">
        <v>608</v>
      </c>
      <c r="E50">
        <f t="shared" si="0"/>
        <v>0</v>
      </c>
      <c r="F50" s="2">
        <f t="shared" si="1"/>
        <v>2.0408163265306121E-2</v>
      </c>
      <c r="G50" s="2" t="str">
        <f>IF(E50=1,SUM(F$3:$F49),"")</f>
        <v/>
      </c>
    </row>
    <row r="51" spans="1:7" x14ac:dyDescent="0.3">
      <c r="A51">
        <v>50</v>
      </c>
      <c r="B51" t="s">
        <v>107</v>
      </c>
      <c r="C51" t="s">
        <v>5</v>
      </c>
      <c r="D51">
        <v>608</v>
      </c>
      <c r="E51">
        <f t="shared" si="0"/>
        <v>0</v>
      </c>
      <c r="F51" s="2">
        <f t="shared" si="1"/>
        <v>0.02</v>
      </c>
      <c r="G51" s="2" t="str">
        <f>IF(E51=1,SUM(F$3:$F50),"")</f>
        <v/>
      </c>
    </row>
    <row r="52" spans="1:7" x14ac:dyDescent="0.3">
      <c r="A52">
        <v>51</v>
      </c>
      <c r="B52" t="s">
        <v>122</v>
      </c>
      <c r="C52" t="s">
        <v>4</v>
      </c>
      <c r="D52">
        <v>604</v>
      </c>
      <c r="E52">
        <f t="shared" si="0"/>
        <v>0</v>
      </c>
      <c r="F52" s="2">
        <f t="shared" si="1"/>
        <v>1.9607843137254902E-2</v>
      </c>
      <c r="G52" s="2" t="str">
        <f>IF(E52=1,SUM(F$3:$F51),"")</f>
        <v/>
      </c>
    </row>
    <row r="53" spans="1:7" x14ac:dyDescent="0.3">
      <c r="A53">
        <v>52</v>
      </c>
      <c r="B53" t="s">
        <v>51</v>
      </c>
      <c r="C53" t="s">
        <v>4</v>
      </c>
      <c r="D53">
        <v>584</v>
      </c>
      <c r="E53">
        <f t="shared" si="0"/>
        <v>0</v>
      </c>
      <c r="F53" s="2">
        <f t="shared" si="1"/>
        <v>1.9230769230769232E-2</v>
      </c>
      <c r="G53" s="2" t="str">
        <f>IF(E53=1,SUM(F$3:$F52),"")</f>
        <v/>
      </c>
    </row>
    <row r="54" spans="1:7" x14ac:dyDescent="0.3">
      <c r="A54">
        <v>53</v>
      </c>
      <c r="B54" t="s">
        <v>70</v>
      </c>
      <c r="C54" t="s">
        <v>5</v>
      </c>
      <c r="D54">
        <v>578</v>
      </c>
      <c r="E54">
        <f t="shared" si="0"/>
        <v>0</v>
      </c>
      <c r="F54" s="2">
        <f t="shared" si="1"/>
        <v>1.8867924528301886E-2</v>
      </c>
      <c r="G54" s="2" t="str">
        <f>IF(E54=1,SUM(F$3:$F53),"")</f>
        <v/>
      </c>
    </row>
    <row r="55" spans="1:7" x14ac:dyDescent="0.3">
      <c r="A55">
        <v>54</v>
      </c>
      <c r="B55" t="s">
        <v>54</v>
      </c>
      <c r="C55" t="s">
        <v>6</v>
      </c>
      <c r="D55">
        <v>575</v>
      </c>
      <c r="E55">
        <f t="shared" si="0"/>
        <v>0</v>
      </c>
      <c r="F55" s="2">
        <f t="shared" si="1"/>
        <v>1.8518518518518517E-2</v>
      </c>
      <c r="G55" s="2" t="str">
        <f>IF(E55=1,SUM(F$3:$F54),"")</f>
        <v/>
      </c>
    </row>
    <row r="56" spans="1:7" x14ac:dyDescent="0.3">
      <c r="A56">
        <v>55</v>
      </c>
      <c r="B56" t="s">
        <v>38</v>
      </c>
      <c r="C56" t="s">
        <v>6</v>
      </c>
      <c r="D56">
        <v>574</v>
      </c>
      <c r="E56">
        <f t="shared" si="0"/>
        <v>0</v>
      </c>
      <c r="F56" s="2">
        <f t="shared" si="1"/>
        <v>1.8181818181818181E-2</v>
      </c>
      <c r="G56" s="2" t="str">
        <f>IF(E56=1,SUM(F$3:$F55),"")</f>
        <v/>
      </c>
    </row>
    <row r="57" spans="1:7" x14ac:dyDescent="0.3">
      <c r="A57">
        <v>56</v>
      </c>
      <c r="B57" t="s">
        <v>80</v>
      </c>
      <c r="C57" t="s">
        <v>4</v>
      </c>
      <c r="D57">
        <v>566</v>
      </c>
      <c r="E57">
        <f t="shared" si="0"/>
        <v>0</v>
      </c>
      <c r="F57" s="2">
        <f t="shared" si="1"/>
        <v>1.7857142857142856E-2</v>
      </c>
      <c r="G57" s="2" t="str">
        <f>IF(E57=1,SUM(F$3:$F56),"")</f>
        <v/>
      </c>
    </row>
    <row r="58" spans="1:7" x14ac:dyDescent="0.3">
      <c r="A58">
        <v>57</v>
      </c>
      <c r="B58" t="s">
        <v>61</v>
      </c>
      <c r="C58" t="s">
        <v>4</v>
      </c>
      <c r="D58">
        <v>565</v>
      </c>
      <c r="E58">
        <f t="shared" si="0"/>
        <v>0</v>
      </c>
      <c r="F58" s="2">
        <f t="shared" si="1"/>
        <v>1.7543859649122806E-2</v>
      </c>
      <c r="G58" s="2" t="str">
        <f>IF(E58=1,SUM(F$3:$F57),"")</f>
        <v/>
      </c>
    </row>
    <row r="59" spans="1:7" x14ac:dyDescent="0.3">
      <c r="A59">
        <v>58</v>
      </c>
      <c r="B59" t="s">
        <v>40</v>
      </c>
      <c r="C59" t="s">
        <v>4</v>
      </c>
      <c r="D59">
        <v>561</v>
      </c>
      <c r="E59">
        <f t="shared" si="0"/>
        <v>0</v>
      </c>
      <c r="F59" s="2">
        <f t="shared" si="1"/>
        <v>1.7241379310344827E-2</v>
      </c>
      <c r="G59" s="2" t="str">
        <f>IF(E59=1,SUM(F$3:$F58),"")</f>
        <v/>
      </c>
    </row>
    <row r="60" spans="1:7" x14ac:dyDescent="0.3">
      <c r="A60">
        <v>59</v>
      </c>
      <c r="B60" t="s">
        <v>36</v>
      </c>
      <c r="C60" t="s">
        <v>4</v>
      </c>
      <c r="D60">
        <v>541</v>
      </c>
      <c r="E60">
        <f t="shared" si="0"/>
        <v>0</v>
      </c>
      <c r="F60" s="2">
        <f t="shared" si="1"/>
        <v>1.6949152542372881E-2</v>
      </c>
      <c r="G60" s="2" t="str">
        <f>IF(E60=1,SUM(F$3:$F59),"")</f>
        <v/>
      </c>
    </row>
    <row r="61" spans="1:7" x14ac:dyDescent="0.3">
      <c r="A61">
        <v>60</v>
      </c>
      <c r="B61" t="s">
        <v>109</v>
      </c>
      <c r="C61" t="s">
        <v>6</v>
      </c>
      <c r="D61">
        <v>531</v>
      </c>
      <c r="E61">
        <f t="shared" si="0"/>
        <v>0</v>
      </c>
      <c r="F61" s="2">
        <f t="shared" si="1"/>
        <v>1.6666666666666666E-2</v>
      </c>
      <c r="G61" s="2" t="str">
        <f>IF(E61=1,SUM(F$3:$F60),"")</f>
        <v/>
      </c>
    </row>
    <row r="62" spans="1:7" x14ac:dyDescent="0.3">
      <c r="A62">
        <v>61</v>
      </c>
      <c r="B62" t="s">
        <v>97</v>
      </c>
      <c r="C62" t="s">
        <v>4</v>
      </c>
      <c r="D62">
        <v>521</v>
      </c>
      <c r="E62">
        <f t="shared" si="0"/>
        <v>0</v>
      </c>
      <c r="F62" s="2">
        <f t="shared" si="1"/>
        <v>1.6393442622950821E-2</v>
      </c>
      <c r="G62" s="2" t="str">
        <f>IF(E62=1,SUM(F$3:$F61),"")</f>
        <v/>
      </c>
    </row>
    <row r="63" spans="1:7" x14ac:dyDescent="0.3">
      <c r="A63">
        <v>62</v>
      </c>
      <c r="B63" t="s">
        <v>62</v>
      </c>
      <c r="C63" t="s">
        <v>9</v>
      </c>
      <c r="D63">
        <v>521</v>
      </c>
      <c r="E63">
        <f t="shared" si="0"/>
        <v>0</v>
      </c>
      <c r="F63" s="2">
        <f t="shared" si="1"/>
        <v>1.6129032258064516E-2</v>
      </c>
      <c r="G63" s="2" t="str">
        <f>IF(E63=1,SUM(F$3:$F62),"")</f>
        <v/>
      </c>
    </row>
    <row r="64" spans="1:7" x14ac:dyDescent="0.3">
      <c r="A64">
        <v>63</v>
      </c>
      <c r="B64" t="s">
        <v>59</v>
      </c>
      <c r="C64" t="s">
        <v>7</v>
      </c>
      <c r="D64">
        <v>516</v>
      </c>
      <c r="E64">
        <f t="shared" si="0"/>
        <v>0</v>
      </c>
      <c r="F64" s="2">
        <f t="shared" si="1"/>
        <v>1.5873015873015872E-2</v>
      </c>
      <c r="G64" s="2" t="str">
        <f>IF(E64=1,SUM(F$3:$F63),"")</f>
        <v/>
      </c>
    </row>
    <row r="65" spans="1:7" x14ac:dyDescent="0.3">
      <c r="A65">
        <v>64</v>
      </c>
      <c r="B65" t="s">
        <v>110</v>
      </c>
      <c r="C65" t="s">
        <v>4</v>
      </c>
      <c r="D65">
        <v>500</v>
      </c>
      <c r="E65">
        <f t="shared" si="0"/>
        <v>0</v>
      </c>
      <c r="F65" s="2">
        <f t="shared" si="1"/>
        <v>1.5625E-2</v>
      </c>
      <c r="G65" s="2" t="str">
        <f>IF(E65=1,SUM(F$3:$F64),"")</f>
        <v/>
      </c>
    </row>
    <row r="66" spans="1:7" x14ac:dyDescent="0.3">
      <c r="A66">
        <v>65</v>
      </c>
      <c r="B66" t="s">
        <v>12</v>
      </c>
      <c r="C66" t="s">
        <v>5</v>
      </c>
      <c r="D66">
        <v>499</v>
      </c>
      <c r="E66">
        <f t="shared" si="0"/>
        <v>0</v>
      </c>
      <c r="F66" s="2">
        <f t="shared" si="1"/>
        <v>1.5384615384615385E-2</v>
      </c>
      <c r="G66" s="2" t="str">
        <f>IF(E66=1,SUM(F$3:$F65),"")</f>
        <v/>
      </c>
    </row>
    <row r="67" spans="1:7" x14ac:dyDescent="0.3">
      <c r="A67">
        <v>66</v>
      </c>
      <c r="B67" t="s">
        <v>42</v>
      </c>
      <c r="C67" t="s">
        <v>9</v>
      </c>
      <c r="D67">
        <v>498</v>
      </c>
      <c r="E67">
        <f t="shared" ref="E67:E76" si="2">IF(COUNTIF($I$2:$I$33,B67)&gt;0,1,0)</f>
        <v>0</v>
      </c>
      <c r="F67" s="2">
        <f t="shared" ref="F67:F76" si="3">IF(E67=1,"",1/A67)</f>
        <v>1.5151515151515152E-2</v>
      </c>
      <c r="G67" s="2" t="str">
        <f>IF(E67=1,SUM(F$3:$F66),"")</f>
        <v/>
      </c>
    </row>
    <row r="68" spans="1:7" x14ac:dyDescent="0.3">
      <c r="A68">
        <v>67</v>
      </c>
      <c r="B68" t="s">
        <v>76</v>
      </c>
      <c r="C68" t="s">
        <v>4</v>
      </c>
      <c r="D68">
        <v>486</v>
      </c>
      <c r="E68">
        <f t="shared" si="2"/>
        <v>0</v>
      </c>
      <c r="F68" s="2">
        <f t="shared" si="3"/>
        <v>1.4925373134328358E-2</v>
      </c>
      <c r="G68" s="2" t="str">
        <f>IF(E68=1,SUM(F$3:$F67),"")</f>
        <v/>
      </c>
    </row>
    <row r="69" spans="1:7" x14ac:dyDescent="0.3">
      <c r="A69">
        <v>68</v>
      </c>
      <c r="B69" t="s">
        <v>44</v>
      </c>
      <c r="C69" t="s">
        <v>4</v>
      </c>
      <c r="D69">
        <v>479</v>
      </c>
      <c r="E69">
        <f t="shared" si="2"/>
        <v>0</v>
      </c>
      <c r="F69" s="2">
        <f t="shared" si="3"/>
        <v>1.4705882352941176E-2</v>
      </c>
      <c r="G69" s="2" t="str">
        <f>IF(E69=1,SUM(F$3:$F68),"")</f>
        <v/>
      </c>
    </row>
    <row r="70" spans="1:7" x14ac:dyDescent="0.3">
      <c r="A70">
        <v>69</v>
      </c>
      <c r="B70" t="s">
        <v>104</v>
      </c>
      <c r="C70" t="s">
        <v>9</v>
      </c>
      <c r="D70">
        <v>475</v>
      </c>
      <c r="E70">
        <f t="shared" si="2"/>
        <v>0</v>
      </c>
      <c r="F70" s="2">
        <f t="shared" si="3"/>
        <v>1.4492753623188406E-2</v>
      </c>
      <c r="G70" s="2" t="str">
        <f>IF(E70=1,SUM(F$3:$F69),"")</f>
        <v/>
      </c>
    </row>
    <row r="71" spans="1:7" x14ac:dyDescent="0.3">
      <c r="A71">
        <v>70</v>
      </c>
      <c r="B71" t="s">
        <v>37</v>
      </c>
      <c r="C71" t="s">
        <v>6</v>
      </c>
      <c r="D71">
        <v>463</v>
      </c>
      <c r="E71">
        <f t="shared" si="2"/>
        <v>0</v>
      </c>
      <c r="F71" s="2">
        <f t="shared" si="3"/>
        <v>1.4285714285714285E-2</v>
      </c>
      <c r="G71" s="2" t="str">
        <f>IF(E71=1,SUM(F$3:$F70),"")</f>
        <v/>
      </c>
    </row>
    <row r="72" spans="1:7" x14ac:dyDescent="0.3">
      <c r="A72">
        <v>71</v>
      </c>
      <c r="B72" t="s">
        <v>30</v>
      </c>
      <c r="C72" t="s">
        <v>6</v>
      </c>
      <c r="D72">
        <v>456</v>
      </c>
      <c r="E72">
        <f t="shared" si="2"/>
        <v>0</v>
      </c>
      <c r="F72" s="2">
        <f t="shared" si="3"/>
        <v>1.4084507042253521E-2</v>
      </c>
      <c r="G72" s="2" t="str">
        <f>IF(E72=1,SUM(F$3:$F71),"")</f>
        <v/>
      </c>
    </row>
    <row r="73" spans="1:7" x14ac:dyDescent="0.3">
      <c r="A73">
        <v>72</v>
      </c>
      <c r="B73" t="s">
        <v>71</v>
      </c>
      <c r="C73" t="s">
        <v>7</v>
      </c>
      <c r="D73">
        <v>452</v>
      </c>
      <c r="E73">
        <f t="shared" si="2"/>
        <v>0</v>
      </c>
      <c r="F73" s="2">
        <f t="shared" si="3"/>
        <v>1.3888888888888888E-2</v>
      </c>
      <c r="G73" s="2" t="str">
        <f>IF(E73=1,SUM(F$3:$F72),"")</f>
        <v/>
      </c>
    </row>
    <row r="74" spans="1:7" x14ac:dyDescent="0.3">
      <c r="A74">
        <v>73</v>
      </c>
      <c r="B74" t="s">
        <v>111</v>
      </c>
      <c r="C74" t="s">
        <v>6</v>
      </c>
      <c r="D74">
        <v>440</v>
      </c>
      <c r="E74">
        <f t="shared" si="2"/>
        <v>0</v>
      </c>
      <c r="F74" s="2">
        <f t="shared" si="3"/>
        <v>1.3698630136986301E-2</v>
      </c>
      <c r="G74" s="2" t="str">
        <f>IF(E74=1,SUM(F$3:$F73),"")</f>
        <v/>
      </c>
    </row>
    <row r="75" spans="1:7" x14ac:dyDescent="0.3">
      <c r="A75">
        <v>74</v>
      </c>
      <c r="B75" t="s">
        <v>112</v>
      </c>
      <c r="C75" t="s">
        <v>7</v>
      </c>
      <c r="D75">
        <v>434</v>
      </c>
      <c r="E75">
        <f t="shared" si="2"/>
        <v>0</v>
      </c>
      <c r="F75" s="2">
        <f t="shared" si="3"/>
        <v>1.3513513513513514E-2</v>
      </c>
      <c r="G75" s="2" t="str">
        <f>IF(E75=1,SUM(F$3:$F74),"")</f>
        <v/>
      </c>
    </row>
    <row r="76" spans="1:7" x14ac:dyDescent="0.3">
      <c r="A76">
        <v>75</v>
      </c>
      <c r="B76" t="s">
        <v>60</v>
      </c>
      <c r="C76" t="s">
        <v>6</v>
      </c>
      <c r="D76">
        <v>422</v>
      </c>
      <c r="E76">
        <f t="shared" si="2"/>
        <v>0</v>
      </c>
      <c r="F76" s="2">
        <f t="shared" si="3"/>
        <v>1.3333333333333334E-2</v>
      </c>
      <c r="G76" s="2" t="str">
        <f>IF(E76=1,SUM(F$3:$F75),"")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EF12-404C-42D2-BF96-EAB14F04FCAB}">
  <dimension ref="A1:L76"/>
  <sheetViews>
    <sheetView workbookViewId="0">
      <selection activeCell="L3" sqref="L3"/>
    </sheetView>
  </sheetViews>
  <sheetFormatPr defaultRowHeight="14.4" x14ac:dyDescent="0.3"/>
  <cols>
    <col min="1" max="1" width="3" bestFit="1" customWidth="1"/>
    <col min="2" max="2" width="20.21875" bestFit="1" customWidth="1"/>
    <col min="3" max="3" width="12.77734375" bestFit="1" customWidth="1"/>
    <col min="4" max="4" width="6.21875" bestFit="1" customWidth="1"/>
    <col min="5" max="5" width="9.6640625" bestFit="1" customWidth="1"/>
    <col min="6" max="6" width="7.21875" bestFit="1" customWidth="1"/>
    <col min="7" max="7" width="15.77734375" bestFit="1" customWidth="1"/>
    <col min="9" max="9" width="20.21875" bestFit="1" customWidth="1"/>
    <col min="11" max="11" width="32.5546875" bestFit="1" customWidth="1"/>
    <col min="12" max="12" width="5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85</v>
      </c>
      <c r="F1" s="1" t="s">
        <v>87</v>
      </c>
      <c r="G1" s="1" t="s">
        <v>141</v>
      </c>
      <c r="I1" s="1" t="s">
        <v>84</v>
      </c>
    </row>
    <row r="2" spans="1:12" x14ac:dyDescent="0.3">
      <c r="A2">
        <v>1</v>
      </c>
      <c r="B2" t="s">
        <v>21</v>
      </c>
      <c r="C2" t="s">
        <v>4</v>
      </c>
      <c r="D2">
        <v>1485</v>
      </c>
      <c r="E2">
        <f>IF(COUNTIF($I$2:$I$33,B2)&gt;0,1,0)</f>
        <v>1</v>
      </c>
      <c r="F2" s="2" t="str">
        <f>IF(E2=1,"",1/A2)</f>
        <v/>
      </c>
      <c r="G2" s="2">
        <v>0</v>
      </c>
      <c r="I2" t="s">
        <v>19</v>
      </c>
    </row>
    <row r="3" spans="1:12" x14ac:dyDescent="0.3">
      <c r="A3">
        <v>2</v>
      </c>
      <c r="B3" t="s">
        <v>17</v>
      </c>
      <c r="C3" t="s">
        <v>4</v>
      </c>
      <c r="D3">
        <v>1300</v>
      </c>
      <c r="E3">
        <f t="shared" ref="E3:E66" si="0">IF(COUNTIF($I$2:$I$33,B3)&gt;0,1,0)</f>
        <v>1</v>
      </c>
      <c r="F3" s="2" t="str">
        <f t="shared" ref="F3:F66" si="1">IF(E3=1,"",1/A3)</f>
        <v/>
      </c>
      <c r="G3" s="2">
        <f>IF(E3=1,SUM(F2:$F$3),"")</f>
        <v>0</v>
      </c>
      <c r="I3" t="s">
        <v>57</v>
      </c>
      <c r="K3" s="3" t="s">
        <v>131</v>
      </c>
      <c r="L3" s="2">
        <f>SUM(F:F)*(COUNTA(I:I)-1)</f>
        <v>31.389441939908103</v>
      </c>
    </row>
    <row r="4" spans="1:12" x14ac:dyDescent="0.3">
      <c r="A4">
        <v>3</v>
      </c>
      <c r="B4" t="s">
        <v>19</v>
      </c>
      <c r="C4" t="s">
        <v>5</v>
      </c>
      <c r="D4">
        <v>1242</v>
      </c>
      <c r="E4">
        <f t="shared" si="0"/>
        <v>1</v>
      </c>
      <c r="F4" s="2" t="str">
        <f t="shared" si="1"/>
        <v/>
      </c>
      <c r="G4" s="2">
        <f>IF(E4=1,SUM(F3:$F$3),"")</f>
        <v>0</v>
      </c>
      <c r="I4" t="s">
        <v>52</v>
      </c>
      <c r="K4" t="s">
        <v>136</v>
      </c>
      <c r="L4" s="2">
        <f>SUMIF(C:C,"UEFA",G:G)/COUNTIFS(C:C,"UEFA",E:E,1)*100</f>
        <v>1.9230769230769231</v>
      </c>
    </row>
    <row r="5" spans="1:12" x14ac:dyDescent="0.3">
      <c r="A5">
        <v>4</v>
      </c>
      <c r="B5" t="s">
        <v>32</v>
      </c>
      <c r="C5" t="s">
        <v>4</v>
      </c>
      <c r="D5">
        <v>1189</v>
      </c>
      <c r="E5">
        <f t="shared" si="0"/>
        <v>1</v>
      </c>
      <c r="F5" s="2" t="str">
        <f t="shared" si="1"/>
        <v/>
      </c>
      <c r="G5" s="2">
        <f>IF(E5=1,SUM(F$3:$F4),"")</f>
        <v>0</v>
      </c>
      <c r="I5" t="s">
        <v>62</v>
      </c>
      <c r="K5" t="s">
        <v>135</v>
      </c>
      <c r="L5" s="2">
        <f>SUMIF(C:C,"CONMEBOL",G:G)/COUNTIFS(C:C,"CONMEBOL",E:E,1)*100</f>
        <v>2.4329710144927534</v>
      </c>
    </row>
    <row r="6" spans="1:12" x14ac:dyDescent="0.3">
      <c r="A6">
        <v>5</v>
      </c>
      <c r="B6" t="s">
        <v>16</v>
      </c>
      <c r="C6" t="s">
        <v>5</v>
      </c>
      <c r="D6">
        <v>1175</v>
      </c>
      <c r="E6">
        <f t="shared" si="0"/>
        <v>1</v>
      </c>
      <c r="F6" s="2" t="str">
        <f t="shared" si="1"/>
        <v/>
      </c>
      <c r="G6" s="2">
        <f>IF(E6=1,SUM(F$3:$F5),"")</f>
        <v>0</v>
      </c>
      <c r="I6" t="s">
        <v>45</v>
      </c>
      <c r="K6" t="s">
        <v>134</v>
      </c>
      <c r="L6" s="2">
        <f>SUMIF(C:C,"CONCACAF",G:G)/COUNTIFS(C:C,"CONCACAF",E:E,1)*100</f>
        <v>13.996368807083915</v>
      </c>
    </row>
    <row r="7" spans="1:12" x14ac:dyDescent="0.3">
      <c r="A7">
        <v>6</v>
      </c>
      <c r="B7" t="s">
        <v>25</v>
      </c>
      <c r="C7" t="s">
        <v>4</v>
      </c>
      <c r="D7">
        <v>1149</v>
      </c>
      <c r="E7">
        <f t="shared" si="0"/>
        <v>1</v>
      </c>
      <c r="F7" s="2" t="str">
        <f t="shared" si="1"/>
        <v/>
      </c>
      <c r="G7" s="2">
        <f>IF(E7=1,SUM(F$3:$F6),"")</f>
        <v>0</v>
      </c>
      <c r="I7" t="s">
        <v>18</v>
      </c>
      <c r="K7" t="s">
        <v>133</v>
      </c>
      <c r="L7" s="2">
        <f>SUMIF(C:C,"CAF",G:G)/COUNTIFS(C:C,"CAF",E:E,1)*100</f>
        <v>36.364797819612896</v>
      </c>
    </row>
    <row r="8" spans="1:12" x14ac:dyDescent="0.3">
      <c r="A8">
        <v>7</v>
      </c>
      <c r="B8" t="s">
        <v>29</v>
      </c>
      <c r="C8" t="s">
        <v>5</v>
      </c>
      <c r="D8">
        <v>1147</v>
      </c>
      <c r="E8">
        <f t="shared" si="0"/>
        <v>1</v>
      </c>
      <c r="F8" s="2" t="str">
        <f t="shared" si="1"/>
        <v/>
      </c>
      <c r="G8" s="2">
        <f>IF(E8=1,SUM(F$3:$F7),"")</f>
        <v>0</v>
      </c>
      <c r="I8" t="s">
        <v>20</v>
      </c>
      <c r="K8" t="s">
        <v>132</v>
      </c>
      <c r="L8" s="2">
        <f>SUMIF(C:C,"AFC",G:G)/COUNTIFS(C:C,"AFC",E:E,1)*100</f>
        <v>65.166040317773295</v>
      </c>
    </row>
    <row r="9" spans="1:12" x14ac:dyDescent="0.3">
      <c r="A9">
        <v>8</v>
      </c>
      <c r="B9" t="s">
        <v>11</v>
      </c>
      <c r="C9" t="s">
        <v>5</v>
      </c>
      <c r="D9">
        <v>1137</v>
      </c>
      <c r="E9">
        <f t="shared" si="0"/>
        <v>1</v>
      </c>
      <c r="F9" s="2" t="str">
        <f t="shared" si="1"/>
        <v/>
      </c>
      <c r="G9" s="2">
        <f>IF(E9=1,SUM(F$3:$F8),"")</f>
        <v>0</v>
      </c>
      <c r="I9" t="s">
        <v>56</v>
      </c>
    </row>
    <row r="10" spans="1:12" x14ac:dyDescent="0.3">
      <c r="A10">
        <v>9</v>
      </c>
      <c r="B10" t="s">
        <v>20</v>
      </c>
      <c r="C10" t="s">
        <v>4</v>
      </c>
      <c r="D10">
        <v>1104</v>
      </c>
      <c r="E10">
        <f t="shared" si="0"/>
        <v>1</v>
      </c>
      <c r="F10" s="2" t="str">
        <f t="shared" si="1"/>
        <v/>
      </c>
      <c r="G10" s="2">
        <f>IF(E10=1,SUM(F$3:$F9),"")</f>
        <v>0</v>
      </c>
      <c r="I10" t="s">
        <v>79</v>
      </c>
    </row>
    <row r="11" spans="1:12" x14ac:dyDescent="0.3">
      <c r="A11">
        <v>10</v>
      </c>
      <c r="B11" t="s">
        <v>27</v>
      </c>
      <c r="C11" t="s">
        <v>4</v>
      </c>
      <c r="D11">
        <v>1090</v>
      </c>
      <c r="E11">
        <f t="shared" si="0"/>
        <v>1</v>
      </c>
      <c r="F11" s="2" t="str">
        <f t="shared" si="1"/>
        <v/>
      </c>
      <c r="G11" s="2">
        <f>IF(E11=1,SUM(F$3:$F10),"")</f>
        <v>0</v>
      </c>
      <c r="I11" t="s">
        <v>16</v>
      </c>
    </row>
    <row r="12" spans="1:12" x14ac:dyDescent="0.3">
      <c r="A12">
        <v>11</v>
      </c>
      <c r="B12" t="s">
        <v>36</v>
      </c>
      <c r="C12" t="s">
        <v>4</v>
      </c>
      <c r="D12">
        <v>1074</v>
      </c>
      <c r="E12">
        <f t="shared" si="0"/>
        <v>1</v>
      </c>
      <c r="F12" s="2" t="str">
        <f t="shared" si="1"/>
        <v/>
      </c>
      <c r="G12" s="2">
        <f>IF(E12=1,SUM(F$3:$F11),"")</f>
        <v>0</v>
      </c>
      <c r="I12" t="s">
        <v>36</v>
      </c>
    </row>
    <row r="13" spans="1:12" x14ac:dyDescent="0.3">
      <c r="A13">
        <v>12</v>
      </c>
      <c r="B13" t="s">
        <v>39</v>
      </c>
      <c r="C13" t="s">
        <v>4</v>
      </c>
      <c r="D13">
        <v>1064</v>
      </c>
      <c r="E13">
        <f t="shared" si="0"/>
        <v>1</v>
      </c>
      <c r="F13" s="2" t="str">
        <f t="shared" si="1"/>
        <v/>
      </c>
      <c r="G13" s="2">
        <f>IF(E13=1,SUM(F$3:$F12),"")</f>
        <v>0</v>
      </c>
      <c r="I13" t="s">
        <v>25</v>
      </c>
    </row>
    <row r="14" spans="1:12" x14ac:dyDescent="0.3">
      <c r="A14">
        <v>13</v>
      </c>
      <c r="B14" t="s">
        <v>79</v>
      </c>
      <c r="C14" t="s">
        <v>7</v>
      </c>
      <c r="D14">
        <v>1035</v>
      </c>
      <c r="E14">
        <f t="shared" si="0"/>
        <v>1</v>
      </c>
      <c r="F14" s="2" t="str">
        <f t="shared" si="1"/>
        <v/>
      </c>
      <c r="G14" s="2">
        <f>IF(E14=1,SUM(F$3:$F13),"")</f>
        <v>0</v>
      </c>
      <c r="I14" t="s">
        <v>17</v>
      </c>
    </row>
    <row r="15" spans="1:12" x14ac:dyDescent="0.3">
      <c r="A15">
        <v>14</v>
      </c>
      <c r="B15" t="s">
        <v>48</v>
      </c>
      <c r="C15" t="s">
        <v>5</v>
      </c>
      <c r="D15">
        <v>1026</v>
      </c>
      <c r="E15">
        <f t="shared" si="0"/>
        <v>1</v>
      </c>
      <c r="F15" s="2" t="str">
        <f t="shared" si="1"/>
        <v/>
      </c>
      <c r="G15" s="2">
        <f>IF(E15=1,SUM(F$3:$F14),"")</f>
        <v>0</v>
      </c>
      <c r="I15" t="s">
        <v>11</v>
      </c>
    </row>
    <row r="16" spans="1:12" x14ac:dyDescent="0.3">
      <c r="A16">
        <v>15</v>
      </c>
      <c r="B16" t="s">
        <v>18</v>
      </c>
      <c r="C16" t="s">
        <v>4</v>
      </c>
      <c r="D16">
        <v>981</v>
      </c>
      <c r="E16">
        <f t="shared" si="0"/>
        <v>1</v>
      </c>
      <c r="F16" s="2" t="str">
        <f t="shared" si="1"/>
        <v/>
      </c>
      <c r="G16" s="2">
        <f>IF(E16=1,SUM(F$3:$F15),"")</f>
        <v>0</v>
      </c>
      <c r="I16" t="s">
        <v>127</v>
      </c>
    </row>
    <row r="17" spans="1:9" x14ac:dyDescent="0.3">
      <c r="A17">
        <v>16</v>
      </c>
      <c r="B17" t="s">
        <v>94</v>
      </c>
      <c r="C17" t="s">
        <v>4</v>
      </c>
      <c r="D17">
        <v>915</v>
      </c>
      <c r="E17">
        <f t="shared" si="0"/>
        <v>0</v>
      </c>
      <c r="F17" s="2">
        <f t="shared" si="1"/>
        <v>6.25E-2</v>
      </c>
      <c r="G17" s="2" t="str">
        <f>IF(E17=1,SUM(F$3:$F16),"")</f>
        <v/>
      </c>
      <c r="I17" t="s">
        <v>10</v>
      </c>
    </row>
    <row r="18" spans="1:9" x14ac:dyDescent="0.3">
      <c r="A18">
        <v>17</v>
      </c>
      <c r="B18" t="s">
        <v>26</v>
      </c>
      <c r="C18" t="s">
        <v>4</v>
      </c>
      <c r="D18">
        <v>913</v>
      </c>
      <c r="E18">
        <f t="shared" si="0"/>
        <v>1</v>
      </c>
      <c r="F18" s="2" t="str">
        <f t="shared" si="1"/>
        <v/>
      </c>
      <c r="G18" s="2">
        <f>IF(E18=1,SUM(F$3:$F17),"")</f>
        <v>6.25E-2</v>
      </c>
      <c r="I18" t="s">
        <v>27</v>
      </c>
    </row>
    <row r="19" spans="1:9" x14ac:dyDescent="0.3">
      <c r="A19">
        <v>18</v>
      </c>
      <c r="B19" t="s">
        <v>88</v>
      </c>
      <c r="C19" t="s">
        <v>4</v>
      </c>
      <c r="D19">
        <v>903</v>
      </c>
      <c r="E19">
        <f t="shared" si="0"/>
        <v>1</v>
      </c>
      <c r="F19" s="2" t="str">
        <f t="shared" si="1"/>
        <v/>
      </c>
      <c r="G19" s="2">
        <f>IF(E19=1,SUM(F$3:$F18),"")</f>
        <v>6.25E-2</v>
      </c>
      <c r="I19" t="s">
        <v>21</v>
      </c>
    </row>
    <row r="20" spans="1:9" x14ac:dyDescent="0.3">
      <c r="A20">
        <v>19</v>
      </c>
      <c r="B20" t="s">
        <v>10</v>
      </c>
      <c r="C20" t="s">
        <v>4</v>
      </c>
      <c r="D20">
        <v>893</v>
      </c>
      <c r="E20">
        <f t="shared" si="0"/>
        <v>1</v>
      </c>
      <c r="F20" s="2" t="str">
        <f t="shared" si="1"/>
        <v/>
      </c>
      <c r="G20" s="2">
        <f>IF(E20=1,SUM(F$3:$F19),"")</f>
        <v>6.25E-2</v>
      </c>
      <c r="I20" t="s">
        <v>48</v>
      </c>
    </row>
    <row r="21" spans="1:9" x14ac:dyDescent="0.3">
      <c r="A21">
        <v>20</v>
      </c>
      <c r="B21" t="s">
        <v>28</v>
      </c>
      <c r="C21" t="s">
        <v>7</v>
      </c>
      <c r="D21">
        <v>882</v>
      </c>
      <c r="E21">
        <f t="shared" si="0"/>
        <v>1</v>
      </c>
      <c r="F21" s="2" t="str">
        <f t="shared" si="1"/>
        <v/>
      </c>
      <c r="G21" s="2">
        <f>IF(E21=1,SUM(F$3:$F20),"")</f>
        <v>6.25E-2</v>
      </c>
      <c r="I21" t="s">
        <v>47</v>
      </c>
    </row>
    <row r="22" spans="1:9" x14ac:dyDescent="0.3">
      <c r="A22">
        <v>21</v>
      </c>
      <c r="B22" t="s">
        <v>127</v>
      </c>
      <c r="C22" t="s">
        <v>4</v>
      </c>
      <c r="D22">
        <v>873</v>
      </c>
      <c r="E22">
        <f t="shared" si="0"/>
        <v>1</v>
      </c>
      <c r="F22" s="2" t="str">
        <f t="shared" si="1"/>
        <v/>
      </c>
      <c r="G22" s="2">
        <f>IF(E22=1,SUM(F$3:$F21),"")</f>
        <v>6.25E-2</v>
      </c>
      <c r="I22" t="s">
        <v>55</v>
      </c>
    </row>
    <row r="23" spans="1:9" x14ac:dyDescent="0.3">
      <c r="A23">
        <v>22</v>
      </c>
      <c r="B23" t="s">
        <v>53</v>
      </c>
      <c r="C23" t="s">
        <v>6</v>
      </c>
      <c r="D23">
        <v>858</v>
      </c>
      <c r="E23">
        <f t="shared" si="0"/>
        <v>1</v>
      </c>
      <c r="F23" s="2" t="str">
        <f t="shared" si="1"/>
        <v/>
      </c>
      <c r="G23" s="2">
        <f>IF(E23=1,SUM(F$3:$F22),"")</f>
        <v>6.25E-2</v>
      </c>
      <c r="I23" t="s">
        <v>13</v>
      </c>
    </row>
    <row r="24" spans="1:9" x14ac:dyDescent="0.3">
      <c r="A24">
        <v>23</v>
      </c>
      <c r="B24" t="s">
        <v>23</v>
      </c>
      <c r="C24" t="s">
        <v>4</v>
      </c>
      <c r="D24">
        <v>809</v>
      </c>
      <c r="E24">
        <f t="shared" si="0"/>
        <v>0</v>
      </c>
      <c r="F24" s="2">
        <f t="shared" si="1"/>
        <v>4.3478260869565216E-2</v>
      </c>
      <c r="G24" s="2" t="str">
        <f>IF(E24=1,SUM(F$3:$F23),"")</f>
        <v/>
      </c>
      <c r="I24" t="s">
        <v>31</v>
      </c>
    </row>
    <row r="25" spans="1:9" x14ac:dyDescent="0.3">
      <c r="A25">
        <v>24</v>
      </c>
      <c r="B25" t="s">
        <v>31</v>
      </c>
      <c r="C25" t="s">
        <v>6</v>
      </c>
      <c r="D25">
        <v>809</v>
      </c>
      <c r="E25">
        <f t="shared" si="0"/>
        <v>1</v>
      </c>
      <c r="F25" s="2" t="str">
        <f t="shared" si="1"/>
        <v/>
      </c>
      <c r="G25" s="2">
        <f>IF(E25=1,SUM(F$3:$F24),"")</f>
        <v>0.10597826086956522</v>
      </c>
      <c r="I25" t="s">
        <v>33</v>
      </c>
    </row>
    <row r="26" spans="1:9" x14ac:dyDescent="0.3">
      <c r="A26">
        <v>25</v>
      </c>
      <c r="B26" t="s">
        <v>101</v>
      </c>
      <c r="C26" t="s">
        <v>4</v>
      </c>
      <c r="D26">
        <v>800</v>
      </c>
      <c r="E26">
        <f t="shared" si="0"/>
        <v>0</v>
      </c>
      <c r="F26" s="2">
        <f t="shared" si="1"/>
        <v>0.04</v>
      </c>
      <c r="G26" s="2" t="str">
        <f>IF(E26=1,SUM(F$3:$F25),"")</f>
        <v/>
      </c>
      <c r="I26" t="s">
        <v>35</v>
      </c>
    </row>
    <row r="27" spans="1:9" x14ac:dyDescent="0.3">
      <c r="A27">
        <v>26</v>
      </c>
      <c r="B27" t="s">
        <v>47</v>
      </c>
      <c r="C27" t="s">
        <v>5</v>
      </c>
      <c r="D27">
        <v>791</v>
      </c>
      <c r="E27">
        <f t="shared" si="0"/>
        <v>1</v>
      </c>
      <c r="F27" s="2" t="str">
        <f t="shared" si="1"/>
        <v/>
      </c>
      <c r="G27" s="2">
        <f>IF(E27=1,SUM(F$3:$F26),"")</f>
        <v>0.14597826086956522</v>
      </c>
      <c r="I27" t="s">
        <v>53</v>
      </c>
    </row>
    <row r="28" spans="1:9" x14ac:dyDescent="0.3">
      <c r="A28">
        <v>27</v>
      </c>
      <c r="B28" t="s">
        <v>41</v>
      </c>
      <c r="C28" t="s">
        <v>4</v>
      </c>
      <c r="D28">
        <v>786</v>
      </c>
      <c r="E28">
        <f t="shared" si="0"/>
        <v>0</v>
      </c>
      <c r="F28" s="2">
        <f t="shared" si="1"/>
        <v>3.7037037037037035E-2</v>
      </c>
      <c r="G28" s="2" t="str">
        <f>IF(E28=1,SUM(F$3:$F27),"")</f>
        <v/>
      </c>
      <c r="I28" t="s">
        <v>39</v>
      </c>
    </row>
    <row r="29" spans="1:9" x14ac:dyDescent="0.3">
      <c r="A29">
        <v>28</v>
      </c>
      <c r="B29" t="s">
        <v>56</v>
      </c>
      <c r="C29" t="s">
        <v>7</v>
      </c>
      <c r="D29">
        <v>762</v>
      </c>
      <c r="E29">
        <f t="shared" si="0"/>
        <v>1</v>
      </c>
      <c r="F29" s="2" t="str">
        <f t="shared" si="1"/>
        <v/>
      </c>
      <c r="G29" s="2">
        <f>IF(E29=1,SUM(F$3:$F28),"")</f>
        <v>0.18301529790660226</v>
      </c>
      <c r="I29" t="s">
        <v>88</v>
      </c>
    </row>
    <row r="30" spans="1:9" x14ac:dyDescent="0.3">
      <c r="A30">
        <v>29</v>
      </c>
      <c r="B30" t="s">
        <v>14</v>
      </c>
      <c r="C30" t="s">
        <v>4</v>
      </c>
      <c r="D30">
        <v>761</v>
      </c>
      <c r="E30">
        <f t="shared" si="0"/>
        <v>0</v>
      </c>
      <c r="F30" s="2">
        <f t="shared" si="1"/>
        <v>3.4482758620689655E-2</v>
      </c>
      <c r="G30" s="2" t="str">
        <f>IF(E30=1,SUM(F$3:$F29),"")</f>
        <v/>
      </c>
      <c r="I30" t="s">
        <v>32</v>
      </c>
    </row>
    <row r="31" spans="1:9" x14ac:dyDescent="0.3">
      <c r="A31">
        <v>30</v>
      </c>
      <c r="B31" t="s">
        <v>108</v>
      </c>
      <c r="C31" t="s">
        <v>4</v>
      </c>
      <c r="D31">
        <v>745</v>
      </c>
      <c r="E31">
        <f t="shared" si="0"/>
        <v>0</v>
      </c>
      <c r="F31" s="2">
        <f t="shared" si="1"/>
        <v>3.3333333333333333E-2</v>
      </c>
      <c r="G31" s="2" t="str">
        <f>IF(E31=1,SUM(F$3:$F30),"")</f>
        <v/>
      </c>
      <c r="I31" t="s">
        <v>26</v>
      </c>
    </row>
    <row r="32" spans="1:9" x14ac:dyDescent="0.3">
      <c r="A32">
        <v>31</v>
      </c>
      <c r="B32" t="s">
        <v>112</v>
      </c>
      <c r="C32" t="s">
        <v>7</v>
      </c>
      <c r="D32">
        <v>743</v>
      </c>
      <c r="E32">
        <f t="shared" si="0"/>
        <v>0</v>
      </c>
      <c r="F32" s="2">
        <f t="shared" si="1"/>
        <v>3.2258064516129031E-2</v>
      </c>
      <c r="G32" s="2" t="str">
        <f>IF(E32=1,SUM(F$3:$F31),"")</f>
        <v/>
      </c>
      <c r="I32" t="s">
        <v>28</v>
      </c>
    </row>
    <row r="33" spans="1:9" x14ac:dyDescent="0.3">
      <c r="A33">
        <v>32</v>
      </c>
      <c r="B33" t="s">
        <v>24</v>
      </c>
      <c r="C33" t="s">
        <v>4</v>
      </c>
      <c r="D33">
        <v>741</v>
      </c>
      <c r="E33">
        <f t="shared" si="0"/>
        <v>0</v>
      </c>
      <c r="F33" s="2">
        <f t="shared" si="1"/>
        <v>3.125E-2</v>
      </c>
      <c r="G33" s="2" t="str">
        <f>IF(E33=1,SUM(F$3:$F32),"")</f>
        <v/>
      </c>
      <c r="I33" t="s">
        <v>29</v>
      </c>
    </row>
    <row r="34" spans="1:9" x14ac:dyDescent="0.3">
      <c r="A34">
        <v>33</v>
      </c>
      <c r="B34" t="s">
        <v>55</v>
      </c>
      <c r="C34" t="s">
        <v>7</v>
      </c>
      <c r="D34">
        <v>731</v>
      </c>
      <c r="E34">
        <f t="shared" si="0"/>
        <v>1</v>
      </c>
      <c r="F34" s="2" t="str">
        <f t="shared" si="1"/>
        <v/>
      </c>
      <c r="G34" s="2">
        <f>IF(E34=1,SUM(F$3:$F33),"")</f>
        <v>0.31433945437675426</v>
      </c>
    </row>
    <row r="35" spans="1:9" x14ac:dyDescent="0.3">
      <c r="A35">
        <v>34</v>
      </c>
      <c r="B35" t="s">
        <v>81</v>
      </c>
      <c r="C35" t="s">
        <v>4</v>
      </c>
      <c r="D35">
        <v>724</v>
      </c>
      <c r="E35">
        <f t="shared" si="0"/>
        <v>0</v>
      </c>
      <c r="F35" s="2">
        <f t="shared" si="1"/>
        <v>2.9411764705882353E-2</v>
      </c>
      <c r="G35" s="2" t="str">
        <f>IF(E35=1,SUM(F$3:$F34),"")</f>
        <v/>
      </c>
    </row>
    <row r="36" spans="1:9" x14ac:dyDescent="0.3">
      <c r="A36">
        <v>35</v>
      </c>
      <c r="B36" t="s">
        <v>129</v>
      </c>
      <c r="C36" t="s">
        <v>4</v>
      </c>
      <c r="D36">
        <v>722</v>
      </c>
      <c r="E36">
        <f t="shared" si="0"/>
        <v>0</v>
      </c>
      <c r="F36" s="2">
        <f t="shared" si="1"/>
        <v>2.8571428571428571E-2</v>
      </c>
      <c r="G36" s="2" t="str">
        <f>IF(E36=1,SUM(F$3:$F35),"")</f>
        <v/>
      </c>
    </row>
    <row r="37" spans="1:9" x14ac:dyDescent="0.3">
      <c r="A37">
        <v>36</v>
      </c>
      <c r="B37" t="s">
        <v>34</v>
      </c>
      <c r="C37" t="s">
        <v>6</v>
      </c>
      <c r="D37">
        <v>715</v>
      </c>
      <c r="E37">
        <f t="shared" si="0"/>
        <v>0</v>
      </c>
      <c r="F37" s="2">
        <f t="shared" si="1"/>
        <v>2.7777777777777776E-2</v>
      </c>
      <c r="G37" s="2" t="str">
        <f>IF(E37=1,SUM(F$3:$F36),"")</f>
        <v/>
      </c>
    </row>
    <row r="38" spans="1:9" x14ac:dyDescent="0.3">
      <c r="A38">
        <v>37</v>
      </c>
      <c r="B38" t="s">
        <v>35</v>
      </c>
      <c r="C38" t="s">
        <v>6</v>
      </c>
      <c r="D38">
        <v>704</v>
      </c>
      <c r="E38">
        <f t="shared" si="0"/>
        <v>1</v>
      </c>
      <c r="F38" s="2" t="str">
        <f t="shared" si="1"/>
        <v/>
      </c>
      <c r="G38" s="2">
        <f>IF(E38=1,SUM(F$3:$F37),"")</f>
        <v>0.40010042543184299</v>
      </c>
    </row>
    <row r="39" spans="1:9" x14ac:dyDescent="0.3">
      <c r="A39">
        <v>38</v>
      </c>
      <c r="B39" t="s">
        <v>113</v>
      </c>
      <c r="C39" t="s">
        <v>4</v>
      </c>
      <c r="D39">
        <v>682</v>
      </c>
      <c r="E39">
        <f t="shared" si="0"/>
        <v>0</v>
      </c>
      <c r="F39" s="2">
        <f t="shared" si="1"/>
        <v>2.6315789473684209E-2</v>
      </c>
      <c r="G39" s="2" t="str">
        <f>IF(E39=1,SUM(F$3:$F38),"")</f>
        <v/>
      </c>
    </row>
    <row r="40" spans="1:9" x14ac:dyDescent="0.3">
      <c r="A40">
        <v>39</v>
      </c>
      <c r="B40" t="s">
        <v>114</v>
      </c>
      <c r="C40" t="s">
        <v>6</v>
      </c>
      <c r="D40">
        <v>674</v>
      </c>
      <c r="E40">
        <f t="shared" si="0"/>
        <v>0</v>
      </c>
      <c r="F40" s="2">
        <f t="shared" si="1"/>
        <v>2.564102564102564E-2</v>
      </c>
      <c r="G40" s="2" t="str">
        <f>IF(E40=1,SUM(F$3:$F39),"")</f>
        <v/>
      </c>
    </row>
    <row r="41" spans="1:9" x14ac:dyDescent="0.3">
      <c r="A41">
        <v>40</v>
      </c>
      <c r="B41" t="s">
        <v>107</v>
      </c>
      <c r="C41" t="s">
        <v>5</v>
      </c>
      <c r="D41">
        <v>672</v>
      </c>
      <c r="E41">
        <f t="shared" si="0"/>
        <v>0</v>
      </c>
      <c r="F41" s="2">
        <f t="shared" si="1"/>
        <v>2.5000000000000001E-2</v>
      </c>
      <c r="G41" s="2" t="str">
        <f>IF(E41=1,SUM(F$3:$F40),"")</f>
        <v/>
      </c>
    </row>
    <row r="42" spans="1:9" x14ac:dyDescent="0.3">
      <c r="A42">
        <v>41</v>
      </c>
      <c r="B42" t="s">
        <v>43</v>
      </c>
      <c r="C42" t="s">
        <v>4</v>
      </c>
      <c r="D42">
        <v>644</v>
      </c>
      <c r="E42">
        <f t="shared" si="0"/>
        <v>0</v>
      </c>
      <c r="F42" s="2">
        <f t="shared" si="1"/>
        <v>2.4390243902439025E-2</v>
      </c>
      <c r="G42" s="2" t="str">
        <f>IF(E42=1,SUM(F$3:$F41),"")</f>
        <v/>
      </c>
    </row>
    <row r="43" spans="1:9" x14ac:dyDescent="0.3">
      <c r="A43">
        <v>42</v>
      </c>
      <c r="B43" t="s">
        <v>44</v>
      </c>
      <c r="C43" t="s">
        <v>4</v>
      </c>
      <c r="D43">
        <v>643</v>
      </c>
      <c r="E43">
        <f t="shared" si="0"/>
        <v>0</v>
      </c>
      <c r="F43" s="2">
        <f t="shared" si="1"/>
        <v>2.3809523809523808E-2</v>
      </c>
      <c r="G43" s="2" t="str">
        <f>IF(E43=1,SUM(F$3:$F42),"")</f>
        <v/>
      </c>
    </row>
    <row r="44" spans="1:9" x14ac:dyDescent="0.3">
      <c r="A44">
        <v>43</v>
      </c>
      <c r="B44" t="s">
        <v>62</v>
      </c>
      <c r="C44" t="s">
        <v>9</v>
      </c>
      <c r="D44">
        <v>641</v>
      </c>
      <c r="E44">
        <f t="shared" si="0"/>
        <v>1</v>
      </c>
      <c r="F44" s="2" t="str">
        <f t="shared" si="1"/>
        <v/>
      </c>
      <c r="G44" s="2">
        <f>IF(E44=1,SUM(F$3:$F43),"")</f>
        <v>0.52525700825851573</v>
      </c>
    </row>
    <row r="45" spans="1:9" x14ac:dyDescent="0.3">
      <c r="A45">
        <v>44</v>
      </c>
      <c r="B45" t="s">
        <v>13</v>
      </c>
      <c r="C45" t="s">
        <v>6</v>
      </c>
      <c r="D45">
        <v>640</v>
      </c>
      <c r="E45">
        <f t="shared" si="0"/>
        <v>1</v>
      </c>
      <c r="F45" s="2" t="str">
        <f t="shared" si="1"/>
        <v/>
      </c>
      <c r="G45" s="2">
        <f>IF(E45=1,SUM(F$3:$F44),"")</f>
        <v>0.52525700825851573</v>
      </c>
    </row>
    <row r="46" spans="1:9" x14ac:dyDescent="0.3">
      <c r="A46">
        <v>45</v>
      </c>
      <c r="B46" t="s">
        <v>70</v>
      </c>
      <c r="C46" t="s">
        <v>5</v>
      </c>
      <c r="D46">
        <v>627</v>
      </c>
      <c r="E46">
        <f t="shared" si="0"/>
        <v>0</v>
      </c>
      <c r="F46" s="2">
        <f t="shared" si="1"/>
        <v>2.2222222222222223E-2</v>
      </c>
      <c r="G46" s="2" t="str">
        <f>IF(E46=1,SUM(F$3:$F45),"")</f>
        <v/>
      </c>
    </row>
    <row r="47" spans="1:9" x14ac:dyDescent="0.3">
      <c r="A47">
        <v>46</v>
      </c>
      <c r="B47" t="s">
        <v>57</v>
      </c>
      <c r="C47" t="s">
        <v>9</v>
      </c>
      <c r="D47">
        <v>626</v>
      </c>
      <c r="E47">
        <f t="shared" si="0"/>
        <v>1</v>
      </c>
      <c r="F47" s="2" t="str">
        <f t="shared" si="1"/>
        <v/>
      </c>
      <c r="G47" s="2">
        <f>IF(E47=1,SUM(F$3:$F46),"")</f>
        <v>0.54747923048073799</v>
      </c>
    </row>
    <row r="48" spans="1:9" x14ac:dyDescent="0.3">
      <c r="A48">
        <v>47</v>
      </c>
      <c r="B48" t="s">
        <v>61</v>
      </c>
      <c r="C48" t="s">
        <v>4</v>
      </c>
      <c r="D48">
        <v>624</v>
      </c>
      <c r="E48">
        <f t="shared" si="0"/>
        <v>0</v>
      </c>
      <c r="F48" s="2">
        <f t="shared" si="1"/>
        <v>2.1276595744680851E-2</v>
      </c>
      <c r="G48" s="2" t="str">
        <f>IF(E48=1,SUM(F$3:$F47),"")</f>
        <v/>
      </c>
    </row>
    <row r="49" spans="1:7" x14ac:dyDescent="0.3">
      <c r="A49">
        <v>48</v>
      </c>
      <c r="B49" t="s">
        <v>38</v>
      </c>
      <c r="C49" t="s">
        <v>6</v>
      </c>
      <c r="D49">
        <v>612</v>
      </c>
      <c r="E49">
        <f t="shared" si="0"/>
        <v>0</v>
      </c>
      <c r="F49" s="2">
        <f t="shared" si="1"/>
        <v>2.0833333333333332E-2</v>
      </c>
      <c r="G49" s="2" t="str">
        <f>IF(E49=1,SUM(F$3:$F48),"")</f>
        <v/>
      </c>
    </row>
    <row r="50" spans="1:7" x14ac:dyDescent="0.3">
      <c r="A50">
        <v>49</v>
      </c>
      <c r="B50" t="s">
        <v>50</v>
      </c>
      <c r="C50" t="s">
        <v>4</v>
      </c>
      <c r="D50">
        <v>591</v>
      </c>
      <c r="E50">
        <f t="shared" si="0"/>
        <v>0</v>
      </c>
      <c r="F50" s="2">
        <f t="shared" si="1"/>
        <v>2.0408163265306121E-2</v>
      </c>
      <c r="G50" s="2" t="str">
        <f>IF(E50=1,SUM(F$3:$F49),"")</f>
        <v/>
      </c>
    </row>
    <row r="51" spans="1:7" x14ac:dyDescent="0.3">
      <c r="A51">
        <v>50</v>
      </c>
      <c r="B51" t="s">
        <v>64</v>
      </c>
      <c r="C51" t="s">
        <v>5</v>
      </c>
      <c r="D51">
        <v>575</v>
      </c>
      <c r="E51">
        <f t="shared" si="0"/>
        <v>0</v>
      </c>
      <c r="F51" s="2">
        <f t="shared" si="1"/>
        <v>0.02</v>
      </c>
      <c r="G51" s="2" t="str">
        <f>IF(E51=1,SUM(F$3:$F50),"")</f>
        <v/>
      </c>
    </row>
    <row r="52" spans="1:7" x14ac:dyDescent="0.3">
      <c r="A52">
        <v>51</v>
      </c>
      <c r="B52" t="s">
        <v>110</v>
      </c>
      <c r="C52" t="s">
        <v>4</v>
      </c>
      <c r="D52">
        <v>574</v>
      </c>
      <c r="E52">
        <f t="shared" si="0"/>
        <v>0</v>
      </c>
      <c r="F52" s="2">
        <f t="shared" si="1"/>
        <v>1.9607843137254902E-2</v>
      </c>
      <c r="G52" s="2" t="str">
        <f>IF(E52=1,SUM(F$3:$F51),"")</f>
        <v/>
      </c>
    </row>
    <row r="53" spans="1:7" x14ac:dyDescent="0.3">
      <c r="A53">
        <v>52</v>
      </c>
      <c r="B53" t="s">
        <v>46</v>
      </c>
      <c r="C53" t="s">
        <v>4</v>
      </c>
      <c r="D53">
        <v>566</v>
      </c>
      <c r="E53">
        <f t="shared" si="0"/>
        <v>0</v>
      </c>
      <c r="F53" s="2">
        <f t="shared" si="1"/>
        <v>1.9230769230769232E-2</v>
      </c>
      <c r="G53" s="2" t="str">
        <f>IF(E53=1,SUM(F$3:$F52),"")</f>
        <v/>
      </c>
    </row>
    <row r="54" spans="1:7" x14ac:dyDescent="0.3">
      <c r="A54">
        <v>53</v>
      </c>
      <c r="B54" t="s">
        <v>65</v>
      </c>
      <c r="C54" t="s">
        <v>6</v>
      </c>
      <c r="D54">
        <v>566</v>
      </c>
      <c r="E54">
        <f t="shared" si="0"/>
        <v>0</v>
      </c>
      <c r="F54" s="2">
        <f t="shared" si="1"/>
        <v>1.8867924528301886E-2</v>
      </c>
      <c r="G54" s="2" t="str">
        <f>IF(E54=1,SUM(F$3:$F53),"")</f>
        <v/>
      </c>
    </row>
    <row r="55" spans="1:7" x14ac:dyDescent="0.3">
      <c r="A55">
        <v>54</v>
      </c>
      <c r="B55" t="s">
        <v>69</v>
      </c>
      <c r="C55" t="s">
        <v>6</v>
      </c>
      <c r="D55">
        <v>565</v>
      </c>
      <c r="E55">
        <f t="shared" si="0"/>
        <v>0</v>
      </c>
      <c r="F55" s="2">
        <f t="shared" si="1"/>
        <v>1.8518518518518517E-2</v>
      </c>
      <c r="G55" s="2" t="str">
        <f>IF(E55=1,SUM(F$3:$F54),"")</f>
        <v/>
      </c>
    </row>
    <row r="56" spans="1:7" x14ac:dyDescent="0.3">
      <c r="A56">
        <v>55</v>
      </c>
      <c r="B56" t="s">
        <v>22</v>
      </c>
      <c r="C56" t="s">
        <v>4</v>
      </c>
      <c r="D56">
        <v>562</v>
      </c>
      <c r="E56">
        <f t="shared" si="0"/>
        <v>0</v>
      </c>
      <c r="F56" s="2">
        <f t="shared" si="1"/>
        <v>1.8181818181818181E-2</v>
      </c>
      <c r="G56" s="2" t="str">
        <f>IF(E56=1,SUM(F$3:$F55),"")</f>
        <v/>
      </c>
    </row>
    <row r="57" spans="1:7" x14ac:dyDescent="0.3">
      <c r="A57">
        <v>56</v>
      </c>
      <c r="B57" t="s">
        <v>33</v>
      </c>
      <c r="C57" t="s">
        <v>6</v>
      </c>
      <c r="D57">
        <v>558</v>
      </c>
      <c r="E57">
        <f t="shared" si="0"/>
        <v>1</v>
      </c>
      <c r="F57" s="2" t="str">
        <f t="shared" si="1"/>
        <v/>
      </c>
      <c r="G57" s="2">
        <f>IF(E57=1,SUM(F$3:$F56),"")</f>
        <v>0.72440419642072118</v>
      </c>
    </row>
    <row r="58" spans="1:7" x14ac:dyDescent="0.3">
      <c r="A58">
        <v>57</v>
      </c>
      <c r="B58" t="s">
        <v>54</v>
      </c>
      <c r="C58" t="s">
        <v>6</v>
      </c>
      <c r="D58">
        <v>547</v>
      </c>
      <c r="E58">
        <f t="shared" si="0"/>
        <v>0</v>
      </c>
      <c r="F58" s="2">
        <f t="shared" si="1"/>
        <v>1.7543859649122806E-2</v>
      </c>
      <c r="G58" s="2" t="str">
        <f>IF(E58=1,SUM(F$3:$F57),"")</f>
        <v/>
      </c>
    </row>
    <row r="59" spans="1:7" x14ac:dyDescent="0.3">
      <c r="A59">
        <v>58</v>
      </c>
      <c r="B59" t="s">
        <v>45</v>
      </c>
      <c r="C59" t="s">
        <v>9</v>
      </c>
      <c r="D59">
        <v>547</v>
      </c>
      <c r="E59">
        <f t="shared" si="0"/>
        <v>1</v>
      </c>
      <c r="F59" s="2" t="str">
        <f t="shared" si="1"/>
        <v/>
      </c>
      <c r="G59" s="2">
        <f>IF(E59=1,SUM(F$3:$F58),"")</f>
        <v>0.74194805606984393</v>
      </c>
    </row>
    <row r="60" spans="1:7" x14ac:dyDescent="0.3">
      <c r="A60">
        <v>59</v>
      </c>
      <c r="B60" t="s">
        <v>102</v>
      </c>
      <c r="C60" t="s">
        <v>9</v>
      </c>
      <c r="D60">
        <v>539</v>
      </c>
      <c r="E60">
        <f t="shared" si="0"/>
        <v>0</v>
      </c>
      <c r="F60" s="2">
        <f t="shared" si="1"/>
        <v>1.6949152542372881E-2</v>
      </c>
      <c r="G60" s="2" t="str">
        <f>IF(E60=1,SUM(F$3:$F59),"")</f>
        <v/>
      </c>
    </row>
    <row r="61" spans="1:7" x14ac:dyDescent="0.3">
      <c r="A61">
        <v>60</v>
      </c>
      <c r="B61" t="s">
        <v>95</v>
      </c>
      <c r="C61" t="s">
        <v>6</v>
      </c>
      <c r="D61">
        <v>538</v>
      </c>
      <c r="E61">
        <f t="shared" si="0"/>
        <v>0</v>
      </c>
      <c r="F61" s="2">
        <f t="shared" si="1"/>
        <v>1.6666666666666666E-2</v>
      </c>
      <c r="G61" s="2" t="str">
        <f>IF(E61=1,SUM(F$3:$F60),"")</f>
        <v/>
      </c>
    </row>
    <row r="62" spans="1:7" x14ac:dyDescent="0.3">
      <c r="A62">
        <v>61</v>
      </c>
      <c r="B62" t="s">
        <v>51</v>
      </c>
      <c r="C62" t="s">
        <v>4</v>
      </c>
      <c r="D62">
        <v>532</v>
      </c>
      <c r="E62">
        <f t="shared" si="0"/>
        <v>0</v>
      </c>
      <c r="F62" s="2">
        <f t="shared" si="1"/>
        <v>1.6393442622950821E-2</v>
      </c>
      <c r="G62" s="2" t="str">
        <f>IF(E62=1,SUM(F$3:$F61),"")</f>
        <v/>
      </c>
    </row>
    <row r="63" spans="1:7" x14ac:dyDescent="0.3">
      <c r="A63">
        <v>62</v>
      </c>
      <c r="B63" t="s">
        <v>52</v>
      </c>
      <c r="C63" t="s">
        <v>9</v>
      </c>
      <c r="D63">
        <v>526</v>
      </c>
      <c r="E63">
        <f t="shared" si="0"/>
        <v>1</v>
      </c>
      <c r="F63" s="2" t="str">
        <f t="shared" si="1"/>
        <v/>
      </c>
      <c r="G63" s="2">
        <f>IF(E63=1,SUM(F$3:$F62),"")</f>
        <v>0.79195731790183432</v>
      </c>
    </row>
    <row r="64" spans="1:7" x14ac:dyDescent="0.3">
      <c r="A64">
        <v>63</v>
      </c>
      <c r="B64" t="s">
        <v>115</v>
      </c>
      <c r="C64" t="s">
        <v>9</v>
      </c>
      <c r="D64">
        <v>510</v>
      </c>
      <c r="E64">
        <f t="shared" si="0"/>
        <v>0</v>
      </c>
      <c r="F64" s="2">
        <f t="shared" si="1"/>
        <v>1.5873015873015872E-2</v>
      </c>
      <c r="G64" s="2" t="str">
        <f>IF(E64=1,SUM(F$3:$F63),"")</f>
        <v/>
      </c>
    </row>
    <row r="65" spans="1:7" x14ac:dyDescent="0.3">
      <c r="A65">
        <v>64</v>
      </c>
      <c r="B65" t="s">
        <v>116</v>
      </c>
      <c r="C65" t="s">
        <v>6</v>
      </c>
      <c r="D65">
        <v>498</v>
      </c>
      <c r="E65">
        <f t="shared" si="0"/>
        <v>0</v>
      </c>
      <c r="F65" s="2">
        <f t="shared" si="1"/>
        <v>1.5625E-2</v>
      </c>
      <c r="G65" s="2" t="str">
        <f>IF(E65=1,SUM(F$3:$F64),"")</f>
        <v/>
      </c>
    </row>
    <row r="66" spans="1:7" x14ac:dyDescent="0.3">
      <c r="A66">
        <v>65</v>
      </c>
      <c r="B66" t="s">
        <v>89</v>
      </c>
      <c r="C66" t="s">
        <v>6</v>
      </c>
      <c r="D66">
        <v>496</v>
      </c>
      <c r="E66">
        <f t="shared" si="0"/>
        <v>0</v>
      </c>
      <c r="F66" s="2">
        <f t="shared" si="1"/>
        <v>1.5384615384615385E-2</v>
      </c>
      <c r="G66" s="2" t="str">
        <f>IF(E66=1,SUM(F$3:$F65),"")</f>
        <v/>
      </c>
    </row>
    <row r="67" spans="1:7" x14ac:dyDescent="0.3">
      <c r="A67">
        <v>66</v>
      </c>
      <c r="B67" t="s">
        <v>117</v>
      </c>
      <c r="C67" t="s">
        <v>4</v>
      </c>
      <c r="D67">
        <v>495</v>
      </c>
      <c r="E67">
        <f t="shared" ref="E67:E76" si="2">IF(COUNTIF($I$2:$I$33,B67)&gt;0,1,0)</f>
        <v>0</v>
      </c>
      <c r="F67" s="2">
        <f t="shared" ref="F67:F76" si="3">IF(E67=1,"",1/A67)</f>
        <v>1.5151515151515152E-2</v>
      </c>
      <c r="G67" s="2" t="str">
        <f>IF(E67=1,SUM(F$3:$F66),"")</f>
        <v/>
      </c>
    </row>
    <row r="68" spans="1:7" x14ac:dyDescent="0.3">
      <c r="A68">
        <v>67</v>
      </c>
      <c r="B68" t="s">
        <v>12</v>
      </c>
      <c r="C68" t="s">
        <v>5</v>
      </c>
      <c r="D68">
        <v>483</v>
      </c>
      <c r="E68">
        <f t="shared" si="2"/>
        <v>0</v>
      </c>
      <c r="F68" s="2">
        <f t="shared" si="3"/>
        <v>1.4925373134328358E-2</v>
      </c>
      <c r="G68" s="2" t="str">
        <f>IF(E68=1,SUM(F$3:$F67),"")</f>
        <v/>
      </c>
    </row>
    <row r="69" spans="1:7" x14ac:dyDescent="0.3">
      <c r="A69">
        <v>68</v>
      </c>
      <c r="B69" t="s">
        <v>71</v>
      </c>
      <c r="C69" t="s">
        <v>7</v>
      </c>
      <c r="D69">
        <v>481</v>
      </c>
      <c r="E69">
        <f t="shared" si="2"/>
        <v>0</v>
      </c>
      <c r="F69" s="2">
        <f t="shared" si="3"/>
        <v>1.4705882352941176E-2</v>
      </c>
      <c r="G69" s="2" t="str">
        <f>IF(E69=1,SUM(F$3:$F68),"")</f>
        <v/>
      </c>
    </row>
    <row r="70" spans="1:7" x14ac:dyDescent="0.3">
      <c r="A70">
        <v>69</v>
      </c>
      <c r="B70" t="s">
        <v>40</v>
      </c>
      <c r="C70" t="s">
        <v>4</v>
      </c>
      <c r="D70">
        <v>474</v>
      </c>
      <c r="E70">
        <f t="shared" si="2"/>
        <v>0</v>
      </c>
      <c r="F70" s="2">
        <f t="shared" si="3"/>
        <v>1.4492753623188406E-2</v>
      </c>
      <c r="G70" s="2" t="str">
        <f>IF(E70=1,SUM(F$3:$F69),"")</f>
        <v/>
      </c>
    </row>
    <row r="71" spans="1:7" x14ac:dyDescent="0.3">
      <c r="A71">
        <v>70</v>
      </c>
      <c r="B71" t="s">
        <v>83</v>
      </c>
      <c r="C71" t="s">
        <v>4</v>
      </c>
      <c r="D71">
        <v>473</v>
      </c>
      <c r="E71">
        <f t="shared" si="2"/>
        <v>0</v>
      </c>
      <c r="F71" s="2">
        <f t="shared" si="3"/>
        <v>1.4285714285714285E-2</v>
      </c>
      <c r="G71" s="2" t="str">
        <f>IF(E71=1,SUM(F$3:$F70),"")</f>
        <v/>
      </c>
    </row>
    <row r="72" spans="1:7" x14ac:dyDescent="0.3">
      <c r="A72">
        <v>71</v>
      </c>
      <c r="B72" t="s">
        <v>91</v>
      </c>
      <c r="C72" t="s">
        <v>7</v>
      </c>
      <c r="D72">
        <v>470</v>
      </c>
      <c r="E72">
        <f t="shared" si="2"/>
        <v>0</v>
      </c>
      <c r="F72" s="2">
        <f t="shared" si="3"/>
        <v>1.4084507042253521E-2</v>
      </c>
      <c r="G72" s="2" t="str">
        <f>IF(E72=1,SUM(F$3:$F71),"")</f>
        <v/>
      </c>
    </row>
    <row r="73" spans="1:7" x14ac:dyDescent="0.3">
      <c r="A73">
        <v>72</v>
      </c>
      <c r="B73" t="s">
        <v>82</v>
      </c>
      <c r="C73" t="s">
        <v>9</v>
      </c>
      <c r="D73">
        <v>460</v>
      </c>
      <c r="E73">
        <f t="shared" si="2"/>
        <v>0</v>
      </c>
      <c r="F73" s="2">
        <f t="shared" si="3"/>
        <v>1.3888888888888888E-2</v>
      </c>
      <c r="G73" s="2" t="str">
        <f>IF(E73=1,SUM(F$3:$F72),"")</f>
        <v/>
      </c>
    </row>
    <row r="74" spans="1:7" x14ac:dyDescent="0.3">
      <c r="A74">
        <v>73</v>
      </c>
      <c r="B74" t="s">
        <v>118</v>
      </c>
      <c r="C74" t="s">
        <v>7</v>
      </c>
      <c r="D74">
        <v>452</v>
      </c>
      <c r="E74">
        <f t="shared" si="2"/>
        <v>0</v>
      </c>
      <c r="F74" s="2">
        <f t="shared" si="3"/>
        <v>1.3698630136986301E-2</v>
      </c>
      <c r="G74" s="2" t="str">
        <f>IF(E74=1,SUM(F$3:$F73),"")</f>
        <v/>
      </c>
    </row>
    <row r="75" spans="1:7" x14ac:dyDescent="0.3">
      <c r="A75">
        <v>74</v>
      </c>
      <c r="B75" t="s">
        <v>60</v>
      </c>
      <c r="C75" t="s">
        <v>6</v>
      </c>
      <c r="D75">
        <v>451</v>
      </c>
      <c r="E75">
        <f t="shared" si="2"/>
        <v>0</v>
      </c>
      <c r="F75" s="2">
        <f t="shared" si="3"/>
        <v>1.3513513513513514E-2</v>
      </c>
      <c r="G75" s="2" t="str">
        <f>IF(E75=1,SUM(F$3:$F74),"")</f>
        <v/>
      </c>
    </row>
    <row r="76" spans="1:7" x14ac:dyDescent="0.3">
      <c r="A76">
        <v>75</v>
      </c>
      <c r="B76" t="s">
        <v>58</v>
      </c>
      <c r="C76" t="s">
        <v>4</v>
      </c>
      <c r="D76">
        <v>444</v>
      </c>
      <c r="E76">
        <f t="shared" si="2"/>
        <v>0</v>
      </c>
      <c r="F76" s="2">
        <f t="shared" si="3"/>
        <v>1.3333333333333334E-2</v>
      </c>
      <c r="G76" s="2" t="str">
        <f>IF(E76=1,SUM(F$3:$F75),"")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13C5-9011-456E-9015-244309BD3446}">
  <dimension ref="A1:L76"/>
  <sheetViews>
    <sheetView workbookViewId="0">
      <selection activeCell="L3" sqref="L3"/>
    </sheetView>
  </sheetViews>
  <sheetFormatPr defaultColWidth="9" defaultRowHeight="14.4" x14ac:dyDescent="0.3"/>
  <cols>
    <col min="1" max="1" width="3" bestFit="1" customWidth="1"/>
    <col min="2" max="2" width="28.44140625" bestFit="1" customWidth="1"/>
    <col min="3" max="3" width="12.77734375" bestFit="1" customWidth="1"/>
    <col min="4" max="4" width="6.21875" bestFit="1" customWidth="1"/>
    <col min="5" max="5" width="9.6640625" bestFit="1" customWidth="1"/>
    <col min="6" max="6" width="7.21875" bestFit="1" customWidth="1"/>
    <col min="7" max="7" width="15.77734375" bestFit="1" customWidth="1"/>
    <col min="9" max="9" width="11" bestFit="1" customWidth="1"/>
    <col min="11" max="11" width="32.5546875" bestFit="1" customWidth="1"/>
    <col min="12" max="12" width="5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85</v>
      </c>
      <c r="F1" s="1" t="s">
        <v>87</v>
      </c>
      <c r="G1" s="1" t="s">
        <v>141</v>
      </c>
      <c r="I1" s="1" t="s">
        <v>84</v>
      </c>
    </row>
    <row r="2" spans="1:12" x14ac:dyDescent="0.3">
      <c r="A2">
        <v>1</v>
      </c>
      <c r="B2" t="s">
        <v>17</v>
      </c>
      <c r="C2" t="s">
        <v>4</v>
      </c>
      <c r="D2">
        <v>1558</v>
      </c>
      <c r="E2">
        <f>IF(COUNTIF($I$2:$I$33,B2)&gt;0,1,0)</f>
        <v>1</v>
      </c>
      <c r="F2" s="2" t="str">
        <f>IF(E2=1,"",1/A2)</f>
        <v/>
      </c>
      <c r="G2" s="2">
        <v>0</v>
      </c>
      <c r="I2" t="s">
        <v>10</v>
      </c>
    </row>
    <row r="3" spans="1:12" x14ac:dyDescent="0.3">
      <c r="A3">
        <v>2</v>
      </c>
      <c r="B3" t="s">
        <v>19</v>
      </c>
      <c r="C3" t="s">
        <v>5</v>
      </c>
      <c r="D3">
        <v>1431</v>
      </c>
      <c r="E3">
        <f t="shared" ref="E3:E66" si="0">IF(COUNTIF($I$2:$I$33,B3)&gt;0,1,0)</f>
        <v>1</v>
      </c>
      <c r="F3" s="2" t="str">
        <f t="shared" ref="F3:F66" si="1">IF(E3=1,"",1/A3)</f>
        <v/>
      </c>
      <c r="G3" s="2">
        <f>IF(E3=1,SUM(F2:$F$3),"")</f>
        <v>0</v>
      </c>
      <c r="I3" t="s">
        <v>19</v>
      </c>
      <c r="K3" s="3" t="s">
        <v>131</v>
      </c>
      <c r="L3" s="2">
        <f>SUM(F:F)*(COUNTA(I:I)-1)</f>
        <v>36.271667646261996</v>
      </c>
    </row>
    <row r="4" spans="1:12" x14ac:dyDescent="0.3">
      <c r="A4">
        <v>3</v>
      </c>
      <c r="B4" t="s">
        <v>36</v>
      </c>
      <c r="C4" t="s">
        <v>4</v>
      </c>
      <c r="D4">
        <v>1298</v>
      </c>
      <c r="E4">
        <f t="shared" si="0"/>
        <v>1</v>
      </c>
      <c r="F4" s="2" t="str">
        <f t="shared" si="1"/>
        <v/>
      </c>
      <c r="G4" s="2">
        <f>IF(E4=1,SUM(F3:$F$3),"")</f>
        <v>0</v>
      </c>
      <c r="I4" t="s">
        <v>62</v>
      </c>
      <c r="K4" t="s">
        <v>136</v>
      </c>
      <c r="L4" s="2">
        <f>SUMIF(C:C,"UEFA",G:G)/COUNTIFS(C:C,"UEFA",E:E,1)*100</f>
        <v>19.904244181544648</v>
      </c>
    </row>
    <row r="5" spans="1:12" x14ac:dyDescent="0.3">
      <c r="A5">
        <v>4</v>
      </c>
      <c r="B5" t="s">
        <v>32</v>
      </c>
      <c r="C5" t="s">
        <v>4</v>
      </c>
      <c r="D5">
        <v>1274</v>
      </c>
      <c r="E5">
        <f t="shared" si="0"/>
        <v>1</v>
      </c>
      <c r="F5" s="2" t="str">
        <f t="shared" si="1"/>
        <v/>
      </c>
      <c r="G5" s="2">
        <f>IF(E5=1,SUM(F$3:$F4),"")</f>
        <v>0</v>
      </c>
      <c r="I5" t="s">
        <v>57</v>
      </c>
      <c r="K5" t="s">
        <v>135</v>
      </c>
      <c r="L5" s="2">
        <f>SUMIF(C:C,"CONMEBOL",G:G)/COUNTIFS(C:C,"CONMEBOL",E:E,1)*100</f>
        <v>6.666666666666667</v>
      </c>
    </row>
    <row r="6" spans="1:12" x14ac:dyDescent="0.3">
      <c r="A6">
        <v>5</v>
      </c>
      <c r="B6" t="s">
        <v>16</v>
      </c>
      <c r="C6" t="s">
        <v>5</v>
      </c>
      <c r="D6">
        <v>1241</v>
      </c>
      <c r="E6">
        <f t="shared" si="0"/>
        <v>1</v>
      </c>
      <c r="F6" s="2" t="str">
        <f t="shared" si="1"/>
        <v/>
      </c>
      <c r="G6" s="2">
        <f>IF(E6=1,SUM(F$3:$F5),"")</f>
        <v>0</v>
      </c>
      <c r="I6" t="s">
        <v>28</v>
      </c>
      <c r="K6" t="s">
        <v>134</v>
      </c>
      <c r="L6" s="2">
        <f>SUMIF(C:C,"CONCACAF",G:G)/COUNTIFS(C:C,"CONCACAF",E:E,1)*100</f>
        <v>42.604249038258494</v>
      </c>
    </row>
    <row r="7" spans="1:12" x14ac:dyDescent="0.3">
      <c r="A7">
        <v>6</v>
      </c>
      <c r="B7" t="s">
        <v>25</v>
      </c>
      <c r="C7" t="s">
        <v>4</v>
      </c>
      <c r="D7">
        <v>1199</v>
      </c>
      <c r="E7">
        <f t="shared" si="0"/>
        <v>1</v>
      </c>
      <c r="F7" s="2" t="str">
        <f t="shared" si="1"/>
        <v/>
      </c>
      <c r="G7" s="2">
        <f>IF(E7=1,SUM(F$3:$F6),"")</f>
        <v>0</v>
      </c>
      <c r="I7" t="s">
        <v>36</v>
      </c>
      <c r="K7" t="s">
        <v>133</v>
      </c>
      <c r="L7" s="2">
        <f>SUMIF(C:C,"CAF",G:G)/COUNTIFS(C:C,"CAF",E:E,1)*100</f>
        <v>55.913302493120121</v>
      </c>
    </row>
    <row r="8" spans="1:12" x14ac:dyDescent="0.3">
      <c r="A8">
        <v>7</v>
      </c>
      <c r="B8" t="s">
        <v>26</v>
      </c>
      <c r="C8" t="s">
        <v>4</v>
      </c>
      <c r="D8">
        <v>1198</v>
      </c>
      <c r="E8">
        <f t="shared" si="0"/>
        <v>1</v>
      </c>
      <c r="F8" s="2" t="str">
        <f t="shared" si="1"/>
        <v/>
      </c>
      <c r="G8" s="2">
        <f>IF(E8=1,SUM(F$3:$F7),"")</f>
        <v>0</v>
      </c>
      <c r="I8" t="s">
        <v>45</v>
      </c>
      <c r="K8" t="s">
        <v>132</v>
      </c>
      <c r="L8" s="2">
        <f>SUMIF(C:C,"AFC",G:G)/COUNTIFS(C:C,"AFC",E:E,1)*100</f>
        <v>81.302503768048211</v>
      </c>
    </row>
    <row r="9" spans="1:12" x14ac:dyDescent="0.3">
      <c r="A9">
        <v>8</v>
      </c>
      <c r="B9" t="s">
        <v>40</v>
      </c>
      <c r="C9" t="s">
        <v>4</v>
      </c>
      <c r="D9">
        <v>1183</v>
      </c>
      <c r="E9">
        <f t="shared" si="0"/>
        <v>1</v>
      </c>
      <c r="F9" s="2" t="str">
        <f t="shared" si="1"/>
        <v/>
      </c>
      <c r="G9" s="2">
        <f>IF(E9=1,SUM(F$3:$F8),"")</f>
        <v>0</v>
      </c>
      <c r="I9" t="s">
        <v>42</v>
      </c>
    </row>
    <row r="10" spans="1:12" x14ac:dyDescent="0.3">
      <c r="A10">
        <v>9</v>
      </c>
      <c r="B10" t="s">
        <v>48</v>
      </c>
      <c r="C10" t="s">
        <v>5</v>
      </c>
      <c r="D10">
        <v>1135</v>
      </c>
      <c r="E10">
        <f t="shared" si="0"/>
        <v>0</v>
      </c>
      <c r="F10" s="2">
        <f t="shared" si="1"/>
        <v>0.1111111111111111</v>
      </c>
      <c r="G10" s="2" t="str">
        <f>IF(E10=1,SUM(F$3:$F9),"")</f>
        <v/>
      </c>
      <c r="I10" t="s">
        <v>17</v>
      </c>
    </row>
    <row r="11" spans="1:12" x14ac:dyDescent="0.3">
      <c r="A11">
        <v>10</v>
      </c>
      <c r="B11" t="s">
        <v>21</v>
      </c>
      <c r="C11" t="s">
        <v>4</v>
      </c>
      <c r="D11">
        <v>1126</v>
      </c>
      <c r="E11">
        <f t="shared" si="0"/>
        <v>1</v>
      </c>
      <c r="F11" s="2" t="str">
        <f t="shared" si="1"/>
        <v/>
      </c>
      <c r="G11" s="2">
        <f>IF(E11=1,SUM(F$3:$F10),"")</f>
        <v>0.1111111111111111</v>
      </c>
      <c r="I11" t="s">
        <v>27</v>
      </c>
    </row>
    <row r="12" spans="1:12" x14ac:dyDescent="0.3">
      <c r="A12">
        <v>11</v>
      </c>
      <c r="B12" t="s">
        <v>70</v>
      </c>
      <c r="C12" t="s">
        <v>5</v>
      </c>
      <c r="D12">
        <v>1125</v>
      </c>
      <c r="E12">
        <f t="shared" si="0"/>
        <v>1</v>
      </c>
      <c r="F12" s="2" t="str">
        <f t="shared" si="1"/>
        <v/>
      </c>
      <c r="G12" s="2">
        <f>IF(E12=1,SUM(F$3:$F11),"")</f>
        <v>0.1111111111111111</v>
      </c>
      <c r="I12" t="s">
        <v>21</v>
      </c>
    </row>
    <row r="13" spans="1:12" x14ac:dyDescent="0.3">
      <c r="A13">
        <v>12</v>
      </c>
      <c r="B13" t="s">
        <v>23</v>
      </c>
      <c r="C13" t="s">
        <v>4</v>
      </c>
      <c r="D13">
        <v>1051</v>
      </c>
      <c r="E13">
        <f t="shared" si="0"/>
        <v>1</v>
      </c>
      <c r="F13" s="2" t="str">
        <f t="shared" si="1"/>
        <v/>
      </c>
      <c r="G13" s="2">
        <f>IF(E13=1,SUM(F$3:$F12),"")</f>
        <v>0.1111111111111111</v>
      </c>
      <c r="I13" t="s">
        <v>13</v>
      </c>
    </row>
    <row r="14" spans="1:12" x14ac:dyDescent="0.3">
      <c r="A14">
        <v>13</v>
      </c>
      <c r="B14" t="s">
        <v>27</v>
      </c>
      <c r="C14" t="s">
        <v>4</v>
      </c>
      <c r="D14">
        <v>1051</v>
      </c>
      <c r="E14">
        <f t="shared" si="0"/>
        <v>1</v>
      </c>
      <c r="F14" s="2" t="str">
        <f t="shared" si="1"/>
        <v/>
      </c>
      <c r="G14" s="2">
        <f>IF(E14=1,SUM(F$3:$F13),"")</f>
        <v>0.1111111111111111</v>
      </c>
      <c r="I14" t="s">
        <v>56</v>
      </c>
    </row>
    <row r="15" spans="1:12" x14ac:dyDescent="0.3">
      <c r="A15">
        <v>14</v>
      </c>
      <c r="B15" t="s">
        <v>29</v>
      </c>
      <c r="C15" t="s">
        <v>5</v>
      </c>
      <c r="D15">
        <v>1018</v>
      </c>
      <c r="E15">
        <f t="shared" si="0"/>
        <v>1</v>
      </c>
      <c r="F15" s="2" t="str">
        <f t="shared" si="1"/>
        <v/>
      </c>
      <c r="G15" s="2">
        <f>IF(E15=1,SUM(F$3:$F14),"")</f>
        <v>0.1111111111111111</v>
      </c>
      <c r="I15" t="s">
        <v>40</v>
      </c>
    </row>
    <row r="16" spans="1:12" x14ac:dyDescent="0.3">
      <c r="A16">
        <v>15</v>
      </c>
      <c r="B16" t="s">
        <v>28</v>
      </c>
      <c r="C16" t="s">
        <v>7</v>
      </c>
      <c r="D16">
        <v>989</v>
      </c>
      <c r="E16">
        <f t="shared" si="0"/>
        <v>1</v>
      </c>
      <c r="F16" s="2" t="str">
        <f t="shared" si="1"/>
        <v/>
      </c>
      <c r="G16" s="2">
        <f>IF(E16=1,SUM(F$3:$F15),"")</f>
        <v>0.1111111111111111</v>
      </c>
      <c r="I16" t="s">
        <v>34</v>
      </c>
    </row>
    <row r="17" spans="1:9" x14ac:dyDescent="0.3">
      <c r="A17">
        <v>16</v>
      </c>
      <c r="B17" t="s">
        <v>11</v>
      </c>
      <c r="C17" t="s">
        <v>5</v>
      </c>
      <c r="D17">
        <v>986</v>
      </c>
      <c r="E17">
        <f t="shared" si="0"/>
        <v>1</v>
      </c>
      <c r="F17" s="2" t="str">
        <f t="shared" si="1"/>
        <v/>
      </c>
      <c r="G17" s="2">
        <f>IF(E17=1,SUM(F$3:$F16),"")</f>
        <v>0.1111111111111111</v>
      </c>
      <c r="I17" t="s">
        <v>46</v>
      </c>
    </row>
    <row r="18" spans="1:9" x14ac:dyDescent="0.3">
      <c r="A18">
        <v>17</v>
      </c>
      <c r="B18" t="s">
        <v>18</v>
      </c>
      <c r="C18" t="s">
        <v>4</v>
      </c>
      <c r="D18">
        <v>981</v>
      </c>
      <c r="E18">
        <f t="shared" si="0"/>
        <v>0</v>
      </c>
      <c r="F18" s="2">
        <f t="shared" si="1"/>
        <v>5.8823529411764705E-2</v>
      </c>
      <c r="G18" s="2" t="str">
        <f>IF(E18=1,SUM(F$3:$F17),"")</f>
        <v/>
      </c>
      <c r="I18" t="s">
        <v>108</v>
      </c>
    </row>
    <row r="19" spans="1:9" x14ac:dyDescent="0.3">
      <c r="A19">
        <v>18</v>
      </c>
      <c r="B19" t="s">
        <v>43</v>
      </c>
      <c r="C19" t="s">
        <v>4</v>
      </c>
      <c r="D19">
        <v>953</v>
      </c>
      <c r="E19">
        <f t="shared" si="0"/>
        <v>0</v>
      </c>
      <c r="F19" s="2">
        <f t="shared" si="1"/>
        <v>5.5555555555555552E-2</v>
      </c>
      <c r="G19" s="2" t="str">
        <f>IF(E19=1,SUM(F$3:$F18),"")</f>
        <v/>
      </c>
      <c r="I19" t="s">
        <v>32</v>
      </c>
    </row>
    <row r="20" spans="1:9" x14ac:dyDescent="0.3">
      <c r="A20">
        <v>19</v>
      </c>
      <c r="B20" t="s">
        <v>20</v>
      </c>
      <c r="C20" t="s">
        <v>4</v>
      </c>
      <c r="D20">
        <v>951</v>
      </c>
      <c r="E20">
        <f t="shared" si="0"/>
        <v>0</v>
      </c>
      <c r="F20" s="2">
        <f t="shared" si="1"/>
        <v>5.2631578947368418E-2</v>
      </c>
      <c r="G20" s="2" t="str">
        <f>IF(E20=1,SUM(F$3:$F19),"")</f>
        <v/>
      </c>
      <c r="I20" t="s">
        <v>26</v>
      </c>
    </row>
    <row r="21" spans="1:9" x14ac:dyDescent="0.3">
      <c r="A21">
        <v>20</v>
      </c>
      <c r="B21" t="s">
        <v>88</v>
      </c>
      <c r="C21" t="s">
        <v>4</v>
      </c>
      <c r="D21">
        <v>945</v>
      </c>
      <c r="E21">
        <f t="shared" si="0"/>
        <v>1</v>
      </c>
      <c r="F21" s="2" t="str">
        <f t="shared" si="1"/>
        <v/>
      </c>
      <c r="G21" s="2">
        <f>IF(E21=1,SUM(F$3:$F20),"")</f>
        <v>0.27812177502579982</v>
      </c>
      <c r="I21" t="s">
        <v>29</v>
      </c>
    </row>
    <row r="22" spans="1:9" x14ac:dyDescent="0.3">
      <c r="A22">
        <v>21</v>
      </c>
      <c r="B22" t="s">
        <v>38</v>
      </c>
      <c r="C22" t="s">
        <v>6</v>
      </c>
      <c r="D22">
        <v>910</v>
      </c>
      <c r="E22">
        <f t="shared" si="0"/>
        <v>1</v>
      </c>
      <c r="F22" s="2" t="str">
        <f t="shared" si="1"/>
        <v/>
      </c>
      <c r="G22" s="2">
        <f>IF(E22=1,SUM(F$3:$F21),"")</f>
        <v>0.27812177502579982</v>
      </c>
      <c r="I22" t="s">
        <v>16</v>
      </c>
    </row>
    <row r="23" spans="1:9" x14ac:dyDescent="0.3">
      <c r="A23">
        <v>22</v>
      </c>
      <c r="B23" t="s">
        <v>46</v>
      </c>
      <c r="C23" t="s">
        <v>4</v>
      </c>
      <c r="D23">
        <v>908</v>
      </c>
      <c r="E23">
        <f t="shared" si="0"/>
        <v>1</v>
      </c>
      <c r="F23" s="2" t="str">
        <f t="shared" si="1"/>
        <v/>
      </c>
      <c r="G23" s="2">
        <f>IF(E23=1,SUM(F$3:$F22),"")</f>
        <v>0.27812177502579982</v>
      </c>
      <c r="I23" t="s">
        <v>11</v>
      </c>
    </row>
    <row r="24" spans="1:9" x14ac:dyDescent="0.3">
      <c r="A24">
        <v>23</v>
      </c>
      <c r="B24" t="s">
        <v>56</v>
      </c>
      <c r="C24" t="s">
        <v>7</v>
      </c>
      <c r="D24">
        <v>884</v>
      </c>
      <c r="E24">
        <f t="shared" si="0"/>
        <v>1</v>
      </c>
      <c r="F24" s="2" t="str">
        <f t="shared" si="1"/>
        <v/>
      </c>
      <c r="G24" s="2">
        <f>IF(E24=1,SUM(F$3:$F23),"")</f>
        <v>0.27812177502579982</v>
      </c>
      <c r="I24" t="s">
        <v>112</v>
      </c>
    </row>
    <row r="25" spans="1:9" x14ac:dyDescent="0.3">
      <c r="A25">
        <v>24</v>
      </c>
      <c r="B25" t="s">
        <v>24</v>
      </c>
      <c r="C25" t="s">
        <v>4</v>
      </c>
      <c r="D25">
        <v>880</v>
      </c>
      <c r="E25">
        <f t="shared" si="0"/>
        <v>1</v>
      </c>
      <c r="F25" s="2" t="str">
        <f t="shared" si="1"/>
        <v/>
      </c>
      <c r="G25" s="2">
        <f>IF(E25=1,SUM(F$3:$F24),"")</f>
        <v>0.27812177502579982</v>
      </c>
      <c r="I25" t="s">
        <v>60</v>
      </c>
    </row>
    <row r="26" spans="1:9" x14ac:dyDescent="0.3">
      <c r="A26">
        <v>25</v>
      </c>
      <c r="B26" t="s">
        <v>79</v>
      </c>
      <c r="C26" t="s">
        <v>7</v>
      </c>
      <c r="D26">
        <v>873</v>
      </c>
      <c r="E26">
        <f t="shared" si="0"/>
        <v>0</v>
      </c>
      <c r="F26" s="2">
        <f t="shared" si="1"/>
        <v>0.04</v>
      </c>
      <c r="G26" s="2" t="str">
        <f>IF(E26=1,SUM(F$3:$F25),"")</f>
        <v/>
      </c>
      <c r="I26" t="s">
        <v>37</v>
      </c>
    </row>
    <row r="27" spans="1:9" x14ac:dyDescent="0.3">
      <c r="A27">
        <v>26</v>
      </c>
      <c r="B27" t="s">
        <v>44</v>
      </c>
      <c r="C27" t="s">
        <v>4</v>
      </c>
      <c r="D27">
        <v>845</v>
      </c>
      <c r="E27">
        <f t="shared" si="0"/>
        <v>0</v>
      </c>
      <c r="F27" s="2">
        <f t="shared" si="1"/>
        <v>3.8461538461538464E-2</v>
      </c>
      <c r="G27" s="2" t="str">
        <f>IF(E27=1,SUM(F$3:$F26),"")</f>
        <v/>
      </c>
      <c r="I27" t="s">
        <v>38</v>
      </c>
    </row>
    <row r="28" spans="1:9" x14ac:dyDescent="0.3">
      <c r="A28">
        <v>27</v>
      </c>
      <c r="B28" t="s">
        <v>60</v>
      </c>
      <c r="C28" t="s">
        <v>6</v>
      </c>
      <c r="D28">
        <v>838</v>
      </c>
      <c r="E28">
        <f t="shared" si="0"/>
        <v>1</v>
      </c>
      <c r="F28" s="2" t="str">
        <f t="shared" si="1"/>
        <v/>
      </c>
      <c r="G28" s="2">
        <f>IF(E28=1,SUM(F$3:$F27),"")</f>
        <v>0.35658331348733829</v>
      </c>
      <c r="I28" t="s">
        <v>25</v>
      </c>
    </row>
    <row r="29" spans="1:9" x14ac:dyDescent="0.3">
      <c r="A29">
        <v>28</v>
      </c>
      <c r="B29" t="s">
        <v>50</v>
      </c>
      <c r="C29" t="s">
        <v>4</v>
      </c>
      <c r="D29">
        <v>804</v>
      </c>
      <c r="E29">
        <f t="shared" si="0"/>
        <v>0</v>
      </c>
      <c r="F29" s="2">
        <f t="shared" si="1"/>
        <v>3.5714285714285712E-2</v>
      </c>
      <c r="G29" s="2" t="str">
        <f>IF(E29=1,SUM(F$3:$F28),"")</f>
        <v/>
      </c>
      <c r="I29" t="s">
        <v>88</v>
      </c>
    </row>
    <row r="30" spans="1:9" x14ac:dyDescent="0.3">
      <c r="A30">
        <v>29</v>
      </c>
      <c r="B30" t="s">
        <v>80</v>
      </c>
      <c r="C30" t="s">
        <v>4</v>
      </c>
      <c r="D30">
        <v>803</v>
      </c>
      <c r="E30">
        <f t="shared" si="0"/>
        <v>0</v>
      </c>
      <c r="F30" s="2">
        <f t="shared" si="1"/>
        <v>3.4482758620689655E-2</v>
      </c>
      <c r="G30" s="2" t="str">
        <f>IF(E30=1,SUM(F$3:$F29),"")</f>
        <v/>
      </c>
      <c r="I30" t="s">
        <v>24</v>
      </c>
    </row>
    <row r="31" spans="1:9" x14ac:dyDescent="0.3">
      <c r="A31">
        <v>30</v>
      </c>
      <c r="B31" t="s">
        <v>14</v>
      </c>
      <c r="C31" t="s">
        <v>4</v>
      </c>
      <c r="D31">
        <v>782</v>
      </c>
      <c r="E31">
        <f t="shared" si="0"/>
        <v>0</v>
      </c>
      <c r="F31" s="2">
        <f t="shared" si="1"/>
        <v>3.3333333333333333E-2</v>
      </c>
      <c r="G31" s="2" t="str">
        <f>IF(E31=1,SUM(F$3:$F30),"")</f>
        <v/>
      </c>
      <c r="I31" t="s">
        <v>23</v>
      </c>
    </row>
    <row r="32" spans="1:9" x14ac:dyDescent="0.3">
      <c r="A32">
        <v>31</v>
      </c>
      <c r="B32" t="s">
        <v>83</v>
      </c>
      <c r="C32" t="s">
        <v>4</v>
      </c>
      <c r="D32">
        <v>777</v>
      </c>
      <c r="E32">
        <f t="shared" si="0"/>
        <v>0</v>
      </c>
      <c r="F32" s="2">
        <f t="shared" si="1"/>
        <v>3.2258064516129031E-2</v>
      </c>
      <c r="G32" s="2" t="str">
        <f>IF(E32=1,SUM(F$3:$F31),"")</f>
        <v/>
      </c>
      <c r="I32" t="s">
        <v>52</v>
      </c>
    </row>
    <row r="33" spans="1:9" x14ac:dyDescent="0.3">
      <c r="A33">
        <v>32</v>
      </c>
      <c r="B33" t="s">
        <v>64</v>
      </c>
      <c r="C33" t="s">
        <v>5</v>
      </c>
      <c r="D33">
        <v>773</v>
      </c>
      <c r="E33">
        <f t="shared" si="0"/>
        <v>0</v>
      </c>
      <c r="F33" s="2">
        <f t="shared" si="1"/>
        <v>3.125E-2</v>
      </c>
      <c r="G33" s="2" t="str">
        <f>IF(E33=1,SUM(F$3:$F32),"")</f>
        <v/>
      </c>
      <c r="I33" t="s">
        <v>70</v>
      </c>
    </row>
    <row r="34" spans="1:9" x14ac:dyDescent="0.3">
      <c r="A34">
        <v>33</v>
      </c>
      <c r="B34" t="s">
        <v>107</v>
      </c>
      <c r="C34" t="s">
        <v>5</v>
      </c>
      <c r="D34">
        <v>755</v>
      </c>
      <c r="E34">
        <f t="shared" si="0"/>
        <v>0</v>
      </c>
      <c r="F34" s="2">
        <f t="shared" si="1"/>
        <v>3.0303030303030304E-2</v>
      </c>
      <c r="G34" s="2" t="str">
        <f>IF(E34=1,SUM(F$3:$F33),"")</f>
        <v/>
      </c>
    </row>
    <row r="35" spans="1:9" x14ac:dyDescent="0.3">
      <c r="A35">
        <v>34</v>
      </c>
      <c r="B35" t="s">
        <v>108</v>
      </c>
      <c r="C35" t="s">
        <v>4</v>
      </c>
      <c r="D35">
        <v>751</v>
      </c>
      <c r="E35">
        <f t="shared" si="0"/>
        <v>1</v>
      </c>
      <c r="F35" s="2" t="str">
        <f t="shared" si="1"/>
        <v/>
      </c>
      <c r="G35" s="2">
        <f>IF(E35=1,SUM(F$3:$F34),"")</f>
        <v>0.55392478597480632</v>
      </c>
    </row>
    <row r="36" spans="1:9" x14ac:dyDescent="0.3">
      <c r="A36">
        <v>35</v>
      </c>
      <c r="B36" t="s">
        <v>94</v>
      </c>
      <c r="C36" t="s">
        <v>4</v>
      </c>
      <c r="D36">
        <v>733</v>
      </c>
      <c r="E36">
        <f t="shared" si="0"/>
        <v>0</v>
      </c>
      <c r="F36" s="2">
        <f t="shared" si="1"/>
        <v>2.8571428571428571E-2</v>
      </c>
      <c r="G36" s="2" t="str">
        <f>IF(E36=1,SUM(F$3:$F35),"")</f>
        <v/>
      </c>
    </row>
    <row r="37" spans="1:9" x14ac:dyDescent="0.3">
      <c r="A37">
        <v>36</v>
      </c>
      <c r="B37" t="s">
        <v>52</v>
      </c>
      <c r="C37" t="s">
        <v>9</v>
      </c>
      <c r="D37">
        <v>718</v>
      </c>
      <c r="E37">
        <f t="shared" si="0"/>
        <v>1</v>
      </c>
      <c r="F37" s="2" t="str">
        <f t="shared" si="1"/>
        <v/>
      </c>
      <c r="G37" s="2">
        <f>IF(E37=1,SUM(F$3:$F36),"")</f>
        <v>0.5824962145462349</v>
      </c>
    </row>
    <row r="38" spans="1:9" x14ac:dyDescent="0.3">
      <c r="A38">
        <v>37</v>
      </c>
      <c r="B38" t="s">
        <v>62</v>
      </c>
      <c r="C38" t="s">
        <v>9</v>
      </c>
      <c r="D38">
        <v>708</v>
      </c>
      <c r="E38">
        <f t="shared" si="0"/>
        <v>1</v>
      </c>
      <c r="F38" s="2" t="str">
        <f t="shared" si="1"/>
        <v/>
      </c>
      <c r="G38" s="2">
        <f>IF(E38=1,SUM(F$3:$F37),"")</f>
        <v>0.5824962145462349</v>
      </c>
    </row>
    <row r="39" spans="1:9" x14ac:dyDescent="0.3">
      <c r="A39">
        <v>38</v>
      </c>
      <c r="B39" t="s">
        <v>129</v>
      </c>
      <c r="C39" t="s">
        <v>4</v>
      </c>
      <c r="D39">
        <v>706</v>
      </c>
      <c r="E39">
        <f t="shared" si="0"/>
        <v>0</v>
      </c>
      <c r="F39" s="2">
        <f t="shared" si="1"/>
        <v>2.6315789473684209E-2</v>
      </c>
      <c r="G39" s="2" t="str">
        <f>IF(E39=1,SUM(F$3:$F38),"")</f>
        <v/>
      </c>
    </row>
    <row r="40" spans="1:9" x14ac:dyDescent="0.3">
      <c r="A40">
        <v>39</v>
      </c>
      <c r="B40" t="s">
        <v>123</v>
      </c>
      <c r="C40" t="s">
        <v>6</v>
      </c>
      <c r="D40">
        <v>706</v>
      </c>
      <c r="E40">
        <f t="shared" si="0"/>
        <v>0</v>
      </c>
      <c r="F40" s="2">
        <f t="shared" si="1"/>
        <v>2.564102564102564E-2</v>
      </c>
      <c r="G40" s="2" t="str">
        <f>IF(E40=1,SUM(F$3:$F39),"")</f>
        <v/>
      </c>
    </row>
    <row r="41" spans="1:9" x14ac:dyDescent="0.3">
      <c r="A41">
        <v>40</v>
      </c>
      <c r="B41" t="s">
        <v>122</v>
      </c>
      <c r="C41" t="s">
        <v>4</v>
      </c>
      <c r="D41">
        <v>693</v>
      </c>
      <c r="E41">
        <f t="shared" si="0"/>
        <v>0</v>
      </c>
      <c r="F41" s="2">
        <f t="shared" si="1"/>
        <v>2.5000000000000001E-2</v>
      </c>
      <c r="G41" s="2" t="str">
        <f>IF(E41=1,SUM(F$3:$F40),"")</f>
        <v/>
      </c>
    </row>
    <row r="42" spans="1:9" x14ac:dyDescent="0.3">
      <c r="A42">
        <v>41</v>
      </c>
      <c r="B42" t="s">
        <v>37</v>
      </c>
      <c r="C42" t="s">
        <v>6</v>
      </c>
      <c r="D42">
        <v>686</v>
      </c>
      <c r="E42">
        <f t="shared" si="0"/>
        <v>1</v>
      </c>
      <c r="F42" s="2" t="str">
        <f t="shared" si="1"/>
        <v/>
      </c>
      <c r="G42" s="2">
        <f>IF(E42=1,SUM(F$3:$F41),"")</f>
        <v>0.65945302966094477</v>
      </c>
    </row>
    <row r="43" spans="1:9" x14ac:dyDescent="0.3">
      <c r="A43">
        <v>42</v>
      </c>
      <c r="B43" t="s">
        <v>41</v>
      </c>
      <c r="C43" t="s">
        <v>4</v>
      </c>
      <c r="D43">
        <v>660</v>
      </c>
      <c r="E43">
        <f t="shared" si="0"/>
        <v>0</v>
      </c>
      <c r="F43" s="2">
        <f t="shared" si="1"/>
        <v>2.3809523809523808E-2</v>
      </c>
      <c r="G43" s="2" t="str">
        <f>IF(E43=1,SUM(F$3:$F42),"")</f>
        <v/>
      </c>
    </row>
    <row r="44" spans="1:9" x14ac:dyDescent="0.3">
      <c r="A44">
        <v>43</v>
      </c>
      <c r="B44" t="s">
        <v>110</v>
      </c>
      <c r="C44" t="s">
        <v>4</v>
      </c>
      <c r="D44">
        <v>652</v>
      </c>
      <c r="E44">
        <f t="shared" si="0"/>
        <v>0</v>
      </c>
      <c r="F44" s="2">
        <f t="shared" si="1"/>
        <v>2.3255813953488372E-2</v>
      </c>
      <c r="G44" s="2" t="str">
        <f>IF(E44=1,SUM(F$3:$F43),"")</f>
        <v/>
      </c>
    </row>
    <row r="45" spans="1:9" x14ac:dyDescent="0.3">
      <c r="A45">
        <v>44</v>
      </c>
      <c r="B45" t="s">
        <v>39</v>
      </c>
      <c r="C45" t="s">
        <v>4</v>
      </c>
      <c r="D45">
        <v>650</v>
      </c>
      <c r="E45">
        <f t="shared" si="0"/>
        <v>0</v>
      </c>
      <c r="F45" s="2">
        <f t="shared" si="1"/>
        <v>2.2727272727272728E-2</v>
      </c>
      <c r="G45" s="2" t="str">
        <f>IF(E45=1,SUM(F$3:$F44),"")</f>
        <v/>
      </c>
    </row>
    <row r="46" spans="1:9" x14ac:dyDescent="0.3">
      <c r="A46">
        <v>45</v>
      </c>
      <c r="B46" t="s">
        <v>34</v>
      </c>
      <c r="C46" t="s">
        <v>6</v>
      </c>
      <c r="D46">
        <v>649</v>
      </c>
      <c r="E46">
        <f t="shared" si="0"/>
        <v>1</v>
      </c>
      <c r="F46" s="2" t="str">
        <f t="shared" si="1"/>
        <v/>
      </c>
      <c r="G46" s="2">
        <f>IF(E46=1,SUM(F$3:$F45),"")</f>
        <v>0.72924564015122972</v>
      </c>
    </row>
    <row r="47" spans="1:9" x14ac:dyDescent="0.3">
      <c r="A47">
        <v>46</v>
      </c>
      <c r="B47" t="s">
        <v>81</v>
      </c>
      <c r="C47" t="s">
        <v>4</v>
      </c>
      <c r="D47">
        <v>641</v>
      </c>
      <c r="E47">
        <f t="shared" si="0"/>
        <v>0</v>
      </c>
      <c r="F47" s="2">
        <f t="shared" si="1"/>
        <v>2.1739130434782608E-2</v>
      </c>
      <c r="G47" s="2" t="str">
        <f>IF(E47=1,SUM(F$3:$F46),"")</f>
        <v/>
      </c>
    </row>
    <row r="48" spans="1:9" x14ac:dyDescent="0.3">
      <c r="A48">
        <v>47</v>
      </c>
      <c r="B48" t="s">
        <v>35</v>
      </c>
      <c r="C48" t="s">
        <v>6</v>
      </c>
      <c r="D48">
        <v>624</v>
      </c>
      <c r="E48">
        <f t="shared" si="0"/>
        <v>0</v>
      </c>
      <c r="F48" s="2">
        <f t="shared" si="1"/>
        <v>2.1276595744680851E-2</v>
      </c>
      <c r="G48" s="2" t="str">
        <f>IF(E48=1,SUM(F$3:$F47),"")</f>
        <v/>
      </c>
    </row>
    <row r="49" spans="1:7" x14ac:dyDescent="0.3">
      <c r="A49">
        <v>48</v>
      </c>
      <c r="B49" t="s">
        <v>13</v>
      </c>
      <c r="C49" t="s">
        <v>6</v>
      </c>
      <c r="D49">
        <v>618</v>
      </c>
      <c r="E49">
        <f t="shared" si="0"/>
        <v>1</v>
      </c>
      <c r="F49" s="2" t="str">
        <f t="shared" si="1"/>
        <v/>
      </c>
      <c r="G49" s="2">
        <f>IF(E49=1,SUM(F$3:$F48),"")</f>
        <v>0.7722613663306932</v>
      </c>
    </row>
    <row r="50" spans="1:7" x14ac:dyDescent="0.3">
      <c r="A50">
        <v>49</v>
      </c>
      <c r="B50" t="s">
        <v>33</v>
      </c>
      <c r="C50" t="s">
        <v>6</v>
      </c>
      <c r="D50">
        <v>614</v>
      </c>
      <c r="E50">
        <f t="shared" si="0"/>
        <v>0</v>
      </c>
      <c r="F50" s="2">
        <f t="shared" si="1"/>
        <v>2.0408163265306121E-2</v>
      </c>
      <c r="G50" s="2" t="str">
        <f>IF(E50=1,SUM(F$3:$F49),"")</f>
        <v/>
      </c>
    </row>
    <row r="51" spans="1:7" x14ac:dyDescent="0.3">
      <c r="A51">
        <v>50</v>
      </c>
      <c r="B51" t="s">
        <v>15</v>
      </c>
      <c r="C51" t="s">
        <v>4</v>
      </c>
      <c r="D51">
        <v>614</v>
      </c>
      <c r="E51">
        <f t="shared" si="0"/>
        <v>0</v>
      </c>
      <c r="F51" s="2">
        <f t="shared" si="1"/>
        <v>0.02</v>
      </c>
      <c r="G51" s="2" t="str">
        <f>IF(E51=1,SUM(F$3:$F50),"")</f>
        <v/>
      </c>
    </row>
    <row r="52" spans="1:7" x14ac:dyDescent="0.3">
      <c r="A52">
        <v>51</v>
      </c>
      <c r="B52" t="s">
        <v>61</v>
      </c>
      <c r="C52" t="s">
        <v>4</v>
      </c>
      <c r="D52">
        <v>612</v>
      </c>
      <c r="E52">
        <f t="shared" si="0"/>
        <v>0</v>
      </c>
      <c r="F52" s="2">
        <f t="shared" si="1"/>
        <v>1.9607843137254902E-2</v>
      </c>
      <c r="G52" s="2" t="str">
        <f>IF(E52=1,SUM(F$3:$F51),"")</f>
        <v/>
      </c>
    </row>
    <row r="53" spans="1:7" x14ac:dyDescent="0.3">
      <c r="A53">
        <v>52</v>
      </c>
      <c r="B53" t="s">
        <v>95</v>
      </c>
      <c r="C53" t="s">
        <v>6</v>
      </c>
      <c r="D53">
        <v>604</v>
      </c>
      <c r="E53">
        <f t="shared" si="0"/>
        <v>0</v>
      </c>
      <c r="F53" s="2">
        <f t="shared" si="1"/>
        <v>1.9230769230769232E-2</v>
      </c>
      <c r="G53" s="2" t="str">
        <f>IF(E53=1,SUM(F$3:$F52),"")</f>
        <v/>
      </c>
    </row>
    <row r="54" spans="1:7" x14ac:dyDescent="0.3">
      <c r="A54">
        <v>53</v>
      </c>
      <c r="B54" t="s">
        <v>22</v>
      </c>
      <c r="C54" t="s">
        <v>4</v>
      </c>
      <c r="D54">
        <v>596</v>
      </c>
      <c r="E54">
        <f t="shared" si="0"/>
        <v>0</v>
      </c>
      <c r="F54" s="2">
        <f t="shared" si="1"/>
        <v>1.8867924528301886E-2</v>
      </c>
      <c r="G54" s="2" t="str">
        <f>IF(E54=1,SUM(F$3:$F53),"")</f>
        <v/>
      </c>
    </row>
    <row r="55" spans="1:7" x14ac:dyDescent="0.3">
      <c r="A55">
        <v>54</v>
      </c>
      <c r="B55" t="s">
        <v>73</v>
      </c>
      <c r="C55" t="s">
        <v>7</v>
      </c>
      <c r="D55">
        <v>588</v>
      </c>
      <c r="E55">
        <f t="shared" si="0"/>
        <v>0</v>
      </c>
      <c r="F55" s="2">
        <f t="shared" si="1"/>
        <v>1.8518518518518517E-2</v>
      </c>
      <c r="G55" s="2" t="str">
        <f>IF(E55=1,SUM(F$3:$F54),"")</f>
        <v/>
      </c>
    </row>
    <row r="56" spans="1:7" x14ac:dyDescent="0.3">
      <c r="A56">
        <v>55</v>
      </c>
      <c r="B56" t="s">
        <v>112</v>
      </c>
      <c r="C56" t="s">
        <v>7</v>
      </c>
      <c r="D56">
        <v>571</v>
      </c>
      <c r="E56">
        <f t="shared" si="0"/>
        <v>1</v>
      </c>
      <c r="F56" s="2" t="str">
        <f t="shared" si="1"/>
        <v/>
      </c>
      <c r="G56" s="2">
        <f>IF(E56=1,SUM(F$3:$F55),"")</f>
        <v>0.88889458501084395</v>
      </c>
    </row>
    <row r="57" spans="1:7" x14ac:dyDescent="0.3">
      <c r="A57">
        <v>56</v>
      </c>
      <c r="B57" t="s">
        <v>101</v>
      </c>
      <c r="C57" t="s">
        <v>4</v>
      </c>
      <c r="D57">
        <v>558</v>
      </c>
      <c r="E57">
        <f t="shared" si="0"/>
        <v>0</v>
      </c>
      <c r="F57" s="2">
        <f t="shared" si="1"/>
        <v>1.7857142857142856E-2</v>
      </c>
      <c r="G57" s="2" t="str">
        <f>IF(E57=1,SUM(F$3:$F56),"")</f>
        <v/>
      </c>
    </row>
    <row r="58" spans="1:7" x14ac:dyDescent="0.3">
      <c r="A58">
        <v>57</v>
      </c>
      <c r="B58" t="s">
        <v>45</v>
      </c>
      <c r="C58" t="s">
        <v>9</v>
      </c>
      <c r="D58">
        <v>544</v>
      </c>
      <c r="E58">
        <f t="shared" si="0"/>
        <v>1</v>
      </c>
      <c r="F58" s="2" t="str">
        <f t="shared" si="1"/>
        <v/>
      </c>
      <c r="G58" s="2">
        <f>IF(E58=1,SUM(F$3:$F57),"")</f>
        <v>0.90675172786798686</v>
      </c>
    </row>
    <row r="59" spans="1:7" x14ac:dyDescent="0.3">
      <c r="A59">
        <v>58</v>
      </c>
      <c r="B59" t="s">
        <v>117</v>
      </c>
      <c r="C59" t="s">
        <v>4</v>
      </c>
      <c r="D59">
        <v>538</v>
      </c>
      <c r="E59">
        <f t="shared" si="0"/>
        <v>0</v>
      </c>
      <c r="F59" s="2">
        <f t="shared" si="1"/>
        <v>1.7241379310344827E-2</v>
      </c>
      <c r="G59" s="2" t="str">
        <f>IF(E59=1,SUM(F$3:$F58),"")</f>
        <v/>
      </c>
    </row>
    <row r="60" spans="1:7" x14ac:dyDescent="0.3">
      <c r="A60">
        <v>59</v>
      </c>
      <c r="B60" t="s">
        <v>12</v>
      </c>
      <c r="C60" t="s">
        <v>5</v>
      </c>
      <c r="D60">
        <v>536</v>
      </c>
      <c r="E60">
        <f t="shared" si="0"/>
        <v>0</v>
      </c>
      <c r="F60" s="2">
        <f t="shared" si="1"/>
        <v>1.6949152542372881E-2</v>
      </c>
      <c r="G60" s="2" t="str">
        <f>IF(E60=1,SUM(F$3:$F59),"")</f>
        <v/>
      </c>
    </row>
    <row r="61" spans="1:7" x14ac:dyDescent="0.3">
      <c r="A61">
        <v>60</v>
      </c>
      <c r="B61" t="s">
        <v>47</v>
      </c>
      <c r="C61" t="s">
        <v>5</v>
      </c>
      <c r="D61">
        <v>524</v>
      </c>
      <c r="E61">
        <f t="shared" si="0"/>
        <v>0</v>
      </c>
      <c r="F61" s="2">
        <f t="shared" si="1"/>
        <v>1.6666666666666666E-2</v>
      </c>
      <c r="G61" s="2" t="str">
        <f>IF(E61=1,SUM(F$3:$F60),"")</f>
        <v/>
      </c>
    </row>
    <row r="62" spans="1:7" x14ac:dyDescent="0.3">
      <c r="A62">
        <v>61</v>
      </c>
      <c r="B62" t="s">
        <v>57</v>
      </c>
      <c r="C62" t="s">
        <v>9</v>
      </c>
      <c r="D62">
        <v>521</v>
      </c>
      <c r="E62">
        <f t="shared" si="0"/>
        <v>1</v>
      </c>
      <c r="F62" s="2" t="str">
        <f t="shared" si="1"/>
        <v/>
      </c>
      <c r="G62" s="2">
        <f>IF(E62=1,SUM(F$3:$F61),"")</f>
        <v>0.95760892638737127</v>
      </c>
    </row>
    <row r="63" spans="1:7" x14ac:dyDescent="0.3">
      <c r="A63">
        <v>62</v>
      </c>
      <c r="B63" t="s">
        <v>55</v>
      </c>
      <c r="C63" t="s">
        <v>7</v>
      </c>
      <c r="D63">
        <v>503</v>
      </c>
      <c r="E63">
        <f t="shared" si="0"/>
        <v>0</v>
      </c>
      <c r="F63" s="2">
        <f t="shared" si="1"/>
        <v>1.6129032258064516E-2</v>
      </c>
      <c r="G63" s="2" t="str">
        <f>IF(E63=1,SUM(F$3:$F62),"")</f>
        <v/>
      </c>
    </row>
    <row r="64" spans="1:7" x14ac:dyDescent="0.3">
      <c r="A64">
        <v>63</v>
      </c>
      <c r="B64" t="s">
        <v>51</v>
      </c>
      <c r="C64" t="s">
        <v>4</v>
      </c>
      <c r="D64">
        <v>486</v>
      </c>
      <c r="E64">
        <f t="shared" si="0"/>
        <v>0</v>
      </c>
      <c r="F64" s="2">
        <f t="shared" si="1"/>
        <v>1.5873015873015872E-2</v>
      </c>
      <c r="G64" s="2" t="str">
        <f>IF(E64=1,SUM(F$3:$F63),"")</f>
        <v/>
      </c>
    </row>
    <row r="65" spans="1:7" x14ac:dyDescent="0.3">
      <c r="A65">
        <v>64</v>
      </c>
      <c r="B65" t="s">
        <v>54</v>
      </c>
      <c r="C65" t="s">
        <v>6</v>
      </c>
      <c r="D65">
        <v>484</v>
      </c>
      <c r="E65">
        <f t="shared" si="0"/>
        <v>0</v>
      </c>
      <c r="F65" s="2">
        <f t="shared" si="1"/>
        <v>1.5625E-2</v>
      </c>
      <c r="G65" s="2" t="str">
        <f>IF(E65=1,SUM(F$3:$F64),"")</f>
        <v/>
      </c>
    </row>
    <row r="66" spans="1:7" x14ac:dyDescent="0.3">
      <c r="A66">
        <v>65</v>
      </c>
      <c r="B66" t="s">
        <v>114</v>
      </c>
      <c r="C66" t="s">
        <v>6</v>
      </c>
      <c r="D66">
        <v>478</v>
      </c>
      <c r="E66">
        <f t="shared" si="0"/>
        <v>0</v>
      </c>
      <c r="F66" s="2">
        <f t="shared" si="1"/>
        <v>1.5384615384615385E-2</v>
      </c>
      <c r="G66" s="2" t="str">
        <f>IF(E66=1,SUM(F$3:$F65),"")</f>
        <v/>
      </c>
    </row>
    <row r="67" spans="1:7" x14ac:dyDescent="0.3">
      <c r="A67">
        <v>66</v>
      </c>
      <c r="B67" t="s">
        <v>53</v>
      </c>
      <c r="C67" t="s">
        <v>6</v>
      </c>
      <c r="D67">
        <v>474</v>
      </c>
      <c r="E67">
        <f t="shared" ref="E67:E76" si="2">IF(COUNTIF($I$2:$I$33,B67)&gt;0,1,0)</f>
        <v>0</v>
      </c>
      <c r="F67" s="2">
        <f t="shared" ref="F67:F76" si="3">IF(E67=1,"",1/A67)</f>
        <v>1.5151515151515152E-2</v>
      </c>
      <c r="G67" s="2" t="str">
        <f>IF(E67=1,SUM(F$3:$F66),"")</f>
        <v/>
      </c>
    </row>
    <row r="68" spans="1:7" x14ac:dyDescent="0.3">
      <c r="A68">
        <v>67</v>
      </c>
      <c r="B68" t="s">
        <v>42</v>
      </c>
      <c r="C68" t="s">
        <v>9</v>
      </c>
      <c r="D68">
        <v>465</v>
      </c>
      <c r="E68">
        <f t="shared" si="2"/>
        <v>1</v>
      </c>
      <c r="F68" s="2" t="str">
        <f t="shared" si="3"/>
        <v/>
      </c>
      <c r="G68" s="2">
        <f>IF(E68=1,SUM(F$3:$F67),"")</f>
        <v>1.0357721050545821</v>
      </c>
    </row>
    <row r="69" spans="1:7" x14ac:dyDescent="0.3">
      <c r="A69">
        <v>68</v>
      </c>
      <c r="B69" t="s">
        <v>65</v>
      </c>
      <c r="C69" t="s">
        <v>6</v>
      </c>
      <c r="D69">
        <v>463</v>
      </c>
      <c r="E69">
        <f t="shared" si="2"/>
        <v>0</v>
      </c>
      <c r="F69" s="2">
        <f t="shared" si="3"/>
        <v>1.4705882352941176E-2</v>
      </c>
      <c r="G69" s="2" t="str">
        <f>IF(E69=1,SUM(F$3:$F68),"")</f>
        <v/>
      </c>
    </row>
    <row r="70" spans="1:7" x14ac:dyDescent="0.3">
      <c r="A70">
        <v>69</v>
      </c>
      <c r="B70" t="s">
        <v>31</v>
      </c>
      <c r="C70" t="s">
        <v>6</v>
      </c>
      <c r="D70">
        <v>463</v>
      </c>
      <c r="E70">
        <f t="shared" si="2"/>
        <v>0</v>
      </c>
      <c r="F70" s="2">
        <f t="shared" si="3"/>
        <v>1.4492753623188406E-2</v>
      </c>
      <c r="G70" s="2" t="str">
        <f>IF(E70=1,SUM(F$3:$F69),"")</f>
        <v/>
      </c>
    </row>
    <row r="71" spans="1:7" x14ac:dyDescent="0.3">
      <c r="A71">
        <v>70</v>
      </c>
      <c r="B71" t="s">
        <v>10</v>
      </c>
      <c r="C71" t="s">
        <v>4</v>
      </c>
      <c r="D71">
        <v>457</v>
      </c>
      <c r="E71">
        <f t="shared" si="2"/>
        <v>1</v>
      </c>
      <c r="F71" s="2" t="str">
        <f t="shared" si="3"/>
        <v/>
      </c>
      <c r="G71" s="2">
        <f>IF(E71=1,SUM(F$3:$F70),"")</f>
        <v>1.0649707410307117</v>
      </c>
    </row>
    <row r="72" spans="1:7" x14ac:dyDescent="0.3">
      <c r="A72">
        <v>71</v>
      </c>
      <c r="B72" t="s">
        <v>97</v>
      </c>
      <c r="C72" t="s">
        <v>4</v>
      </c>
      <c r="D72">
        <v>451</v>
      </c>
      <c r="E72">
        <f t="shared" si="2"/>
        <v>0</v>
      </c>
      <c r="F72" s="2">
        <f t="shared" si="3"/>
        <v>1.4084507042253521E-2</v>
      </c>
      <c r="G72" s="2" t="str">
        <f>IF(E72=1,SUM(F$3:$F71),"")</f>
        <v/>
      </c>
    </row>
    <row r="73" spans="1:7" x14ac:dyDescent="0.3">
      <c r="A73">
        <v>72</v>
      </c>
      <c r="B73" t="s">
        <v>71</v>
      </c>
      <c r="C73" t="s">
        <v>7</v>
      </c>
      <c r="D73">
        <v>442</v>
      </c>
      <c r="E73">
        <f t="shared" si="2"/>
        <v>0</v>
      </c>
      <c r="F73" s="2">
        <f t="shared" si="3"/>
        <v>1.3888888888888888E-2</v>
      </c>
      <c r="G73" s="2" t="str">
        <f>IF(E73=1,SUM(F$3:$F72),"")</f>
        <v/>
      </c>
    </row>
    <row r="74" spans="1:7" x14ac:dyDescent="0.3">
      <c r="A74">
        <v>73</v>
      </c>
      <c r="B74" t="s">
        <v>119</v>
      </c>
      <c r="C74" t="s">
        <v>9</v>
      </c>
      <c r="D74">
        <v>440</v>
      </c>
      <c r="E74">
        <f t="shared" si="2"/>
        <v>0</v>
      </c>
      <c r="F74" s="2">
        <f t="shared" si="3"/>
        <v>1.3698630136986301E-2</v>
      </c>
      <c r="G74" s="2" t="str">
        <f>IF(E74=1,SUM(F$3:$F73),"")</f>
        <v/>
      </c>
    </row>
    <row r="75" spans="1:7" x14ac:dyDescent="0.3">
      <c r="A75">
        <v>74</v>
      </c>
      <c r="B75" t="s">
        <v>89</v>
      </c>
      <c r="C75" t="s">
        <v>6</v>
      </c>
      <c r="D75">
        <v>428</v>
      </c>
      <c r="E75">
        <f t="shared" si="2"/>
        <v>0</v>
      </c>
      <c r="F75" s="2">
        <f t="shared" si="3"/>
        <v>1.3513513513513514E-2</v>
      </c>
      <c r="G75" s="2" t="str">
        <f>IF(E75=1,SUM(F$3:$F74),"")</f>
        <v/>
      </c>
    </row>
    <row r="76" spans="1:7" x14ac:dyDescent="0.3">
      <c r="A76">
        <v>75</v>
      </c>
      <c r="B76" t="s">
        <v>63</v>
      </c>
      <c r="C76" t="s">
        <v>9</v>
      </c>
      <c r="D76">
        <v>423</v>
      </c>
      <c r="E76">
        <f t="shared" si="2"/>
        <v>0</v>
      </c>
      <c r="F76" s="2">
        <f t="shared" si="3"/>
        <v>1.3333333333333334E-2</v>
      </c>
      <c r="G76" s="2" t="str">
        <f>IF(E76=1,SUM(F$3:$F75),"")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BC6A-222D-4FD5-90C7-0EF1C0BAE985}">
  <dimension ref="A1:L76"/>
  <sheetViews>
    <sheetView workbookViewId="0">
      <selection activeCell="L3" sqref="L3"/>
    </sheetView>
  </sheetViews>
  <sheetFormatPr defaultRowHeight="14.4" x14ac:dyDescent="0.3"/>
  <cols>
    <col min="1" max="1" width="3" bestFit="1" customWidth="1"/>
    <col min="2" max="2" width="28.44140625" bestFit="1" customWidth="1"/>
    <col min="3" max="3" width="12.77734375" bestFit="1" customWidth="1"/>
    <col min="4" max="4" width="6.21875" bestFit="1" customWidth="1"/>
    <col min="5" max="5" width="9.6640625" bestFit="1" customWidth="1"/>
    <col min="6" max="6" width="7.21875" bestFit="1" customWidth="1"/>
    <col min="7" max="7" width="15.77734375" bestFit="1" customWidth="1"/>
    <col min="9" max="9" width="11.5546875" bestFit="1" customWidth="1"/>
    <col min="11" max="11" width="32.5546875" bestFit="1" customWidth="1"/>
    <col min="12" max="12" width="5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85</v>
      </c>
      <c r="F1" s="1" t="s">
        <v>87</v>
      </c>
      <c r="G1" s="1" t="s">
        <v>141</v>
      </c>
      <c r="I1" s="1" t="s">
        <v>84</v>
      </c>
    </row>
    <row r="2" spans="1:12" x14ac:dyDescent="0.3">
      <c r="A2">
        <v>1</v>
      </c>
      <c r="B2" t="s">
        <v>19</v>
      </c>
      <c r="C2" t="s">
        <v>5</v>
      </c>
      <c r="D2">
        <v>1841</v>
      </c>
      <c r="E2">
        <f>IF(COUNTIF($I$2:$I$33,B2)&gt;0,1,0)</f>
        <v>1</v>
      </c>
      <c r="F2" s="2" t="str">
        <f>IF(E2=1,"",1/A2)</f>
        <v/>
      </c>
      <c r="G2" s="2">
        <v>0</v>
      </c>
      <c r="I2" t="s">
        <v>72</v>
      </c>
    </row>
    <row r="3" spans="1:12" x14ac:dyDescent="0.3">
      <c r="A3">
        <v>2</v>
      </c>
      <c r="B3" t="s">
        <v>36</v>
      </c>
      <c r="C3" t="s">
        <v>4</v>
      </c>
      <c r="D3">
        <v>1817</v>
      </c>
      <c r="E3">
        <f t="shared" ref="E3:E66" si="0">IF(COUNTIF($I$2:$I$33,B3)&gt;0,1,0)</f>
        <v>1</v>
      </c>
      <c r="F3" s="2" t="str">
        <f t="shared" ref="F3:F66" si="1">IF(E3=1,"",1/A3)</f>
        <v/>
      </c>
      <c r="G3" s="2">
        <f>IF(E3=1,SUM(F2:$F$3),"")</f>
        <v>0</v>
      </c>
      <c r="I3" t="s">
        <v>17</v>
      </c>
      <c r="K3" s="3" t="s">
        <v>131</v>
      </c>
      <c r="L3" s="2">
        <f>SUM(F:F)*(COUNTA(I:I)-1)</f>
        <v>35.261065020965141</v>
      </c>
    </row>
    <row r="4" spans="1:12" x14ac:dyDescent="0.3">
      <c r="A4">
        <v>3</v>
      </c>
      <c r="B4" t="s">
        <v>16</v>
      </c>
      <c r="C4" t="s">
        <v>5</v>
      </c>
      <c r="D4">
        <v>1774</v>
      </c>
      <c r="E4">
        <f t="shared" si="0"/>
        <v>1</v>
      </c>
      <c r="F4" s="2" t="str">
        <f t="shared" si="1"/>
        <v/>
      </c>
      <c r="G4" s="2">
        <f>IF(E4=1,SUM(F3:$F$3),"")</f>
        <v>0</v>
      </c>
      <c r="I4" t="s">
        <v>23</v>
      </c>
      <c r="K4" t="s">
        <v>136</v>
      </c>
      <c r="L4" s="2">
        <f>SUMIF(C:C,"UEFA",G:G)/COUNTIFS(C:C,"UEFA",E:E,1)*100</f>
        <v>14.820119352088662</v>
      </c>
    </row>
    <row r="5" spans="1:12" x14ac:dyDescent="0.3">
      <c r="A5">
        <v>4</v>
      </c>
      <c r="B5" t="s">
        <v>26</v>
      </c>
      <c r="C5" t="s">
        <v>4</v>
      </c>
      <c r="D5">
        <v>1760</v>
      </c>
      <c r="E5">
        <f t="shared" si="0"/>
        <v>1</v>
      </c>
      <c r="F5" s="2" t="str">
        <f t="shared" si="1"/>
        <v/>
      </c>
      <c r="G5" s="2">
        <f>IF(E5=1,SUM(F$3:$F4),"")</f>
        <v>0</v>
      </c>
      <c r="I5" t="s">
        <v>19</v>
      </c>
      <c r="K5" t="s">
        <v>135</v>
      </c>
      <c r="L5" s="2">
        <f>SUMIF(C:C,"CONMEBOL",G:G)/COUNTIFS(C:C,"CONMEBOL",E:E,1)*100</f>
        <v>19.898662427702135</v>
      </c>
    </row>
    <row r="6" spans="1:12" x14ac:dyDescent="0.3">
      <c r="A6">
        <v>5</v>
      </c>
      <c r="B6" t="s">
        <v>27</v>
      </c>
      <c r="C6" t="s">
        <v>4</v>
      </c>
      <c r="D6">
        <v>1728</v>
      </c>
      <c r="E6">
        <f t="shared" si="0"/>
        <v>1</v>
      </c>
      <c r="F6" s="2" t="str">
        <f t="shared" si="1"/>
        <v/>
      </c>
      <c r="G6" s="2">
        <f>IF(E6=1,SUM(F$3:$F5),"")</f>
        <v>0</v>
      </c>
      <c r="I6" t="s">
        <v>26</v>
      </c>
      <c r="K6" t="s">
        <v>134</v>
      </c>
      <c r="L6" s="2">
        <f>SUMIF(C:C,"CONCACAF",G:G)/COUNTIFS(C:C,"CONCACAF",E:E,1)*100</f>
        <v>32.982297314273787</v>
      </c>
    </row>
    <row r="7" spans="1:12" x14ac:dyDescent="0.3">
      <c r="A7">
        <v>6</v>
      </c>
      <c r="B7" t="s">
        <v>20</v>
      </c>
      <c r="C7" t="s">
        <v>4</v>
      </c>
      <c r="D7">
        <v>1726</v>
      </c>
      <c r="E7">
        <f t="shared" si="0"/>
        <v>0</v>
      </c>
      <c r="F7" s="2">
        <f t="shared" si="1"/>
        <v>0.16666666666666666</v>
      </c>
      <c r="G7" s="2" t="str">
        <f>IF(E7=1,SUM(F$3:$F6),"")</f>
        <v/>
      </c>
      <c r="I7" t="s">
        <v>36</v>
      </c>
      <c r="K7" t="s">
        <v>133</v>
      </c>
      <c r="L7" s="2">
        <f>SUMIF(C:C,"CAF",G:G)/COUNTIFS(C:C,"CAF",E:E,1)*100</f>
        <v>47.151299642616138</v>
      </c>
    </row>
    <row r="8" spans="1:12" x14ac:dyDescent="0.3">
      <c r="A8">
        <v>7</v>
      </c>
      <c r="B8" t="s">
        <v>21</v>
      </c>
      <c r="C8" t="s">
        <v>4</v>
      </c>
      <c r="D8">
        <v>1715</v>
      </c>
      <c r="E8">
        <f t="shared" si="0"/>
        <v>1</v>
      </c>
      <c r="F8" s="2" t="str">
        <f t="shared" si="1"/>
        <v/>
      </c>
      <c r="G8" s="2">
        <f>IF(E8=1,SUM(F$3:$F7),"")</f>
        <v>0.16666666666666666</v>
      </c>
      <c r="I8" t="s">
        <v>108</v>
      </c>
      <c r="K8" t="s">
        <v>132</v>
      </c>
      <c r="L8" s="2">
        <f>SUMIF(C:C,"AFC",G:G)/COUNTIFS(C:C,"AFC",E:E,1)*100</f>
        <v>47.780199648096975</v>
      </c>
    </row>
    <row r="9" spans="1:12" x14ac:dyDescent="0.3">
      <c r="A9">
        <v>8</v>
      </c>
      <c r="B9" t="s">
        <v>18</v>
      </c>
      <c r="C9" t="s">
        <v>4</v>
      </c>
      <c r="D9">
        <v>1695</v>
      </c>
      <c r="E9">
        <f t="shared" si="0"/>
        <v>1</v>
      </c>
      <c r="F9" s="2" t="str">
        <f t="shared" si="1"/>
        <v/>
      </c>
      <c r="G9" s="2">
        <f>IF(E9=1,SUM(F$3:$F8),"")</f>
        <v>0.16666666666666666</v>
      </c>
      <c r="I9" t="s">
        <v>21</v>
      </c>
    </row>
    <row r="10" spans="1:12" x14ac:dyDescent="0.3">
      <c r="A10">
        <v>9</v>
      </c>
      <c r="B10" t="s">
        <v>32</v>
      </c>
      <c r="C10" t="s">
        <v>4</v>
      </c>
      <c r="D10">
        <v>1677</v>
      </c>
      <c r="E10">
        <f t="shared" si="0"/>
        <v>1</v>
      </c>
      <c r="F10" s="2" t="str">
        <f t="shared" si="1"/>
        <v/>
      </c>
      <c r="G10" s="2">
        <f>IF(E10=1,SUM(F$3:$F9),"")</f>
        <v>0.16666666666666666</v>
      </c>
      <c r="I10" t="s">
        <v>88</v>
      </c>
    </row>
    <row r="11" spans="1:12" x14ac:dyDescent="0.3">
      <c r="A11">
        <v>10</v>
      </c>
      <c r="B11" t="s">
        <v>23</v>
      </c>
      <c r="C11" t="s">
        <v>4</v>
      </c>
      <c r="D11">
        <v>1667</v>
      </c>
      <c r="E11">
        <f t="shared" si="0"/>
        <v>1</v>
      </c>
      <c r="F11" s="2" t="str">
        <f t="shared" si="1"/>
        <v/>
      </c>
      <c r="G11" s="2">
        <f>IF(E11=1,SUM(F$3:$F10),"")</f>
        <v>0.16666666666666666</v>
      </c>
      <c r="I11" t="s">
        <v>25</v>
      </c>
    </row>
    <row r="12" spans="1:12" x14ac:dyDescent="0.3">
      <c r="A12">
        <v>11</v>
      </c>
      <c r="B12" t="s">
        <v>17</v>
      </c>
      <c r="C12" t="s">
        <v>4</v>
      </c>
      <c r="D12">
        <v>1650</v>
      </c>
      <c r="E12">
        <f t="shared" si="0"/>
        <v>1</v>
      </c>
      <c r="F12" s="2" t="str">
        <f t="shared" si="1"/>
        <v/>
      </c>
      <c r="G12" s="2">
        <f>IF(E12=1,SUM(F$3:$F11),"")</f>
        <v>0.16666666666666666</v>
      </c>
      <c r="I12" t="s">
        <v>27</v>
      </c>
    </row>
    <row r="13" spans="1:12" x14ac:dyDescent="0.3">
      <c r="A13">
        <v>12</v>
      </c>
      <c r="B13" t="s">
        <v>88</v>
      </c>
      <c r="C13" t="s">
        <v>4</v>
      </c>
      <c r="D13">
        <v>1646</v>
      </c>
      <c r="E13">
        <f t="shared" si="0"/>
        <v>1</v>
      </c>
      <c r="F13" s="2" t="str">
        <f t="shared" si="1"/>
        <v/>
      </c>
      <c r="G13" s="2">
        <f>IF(E13=1,SUM(F$3:$F12),"")</f>
        <v>0.16666666666666666</v>
      </c>
      <c r="I13" t="s">
        <v>18</v>
      </c>
    </row>
    <row r="14" spans="1:12" x14ac:dyDescent="0.3">
      <c r="A14">
        <v>13</v>
      </c>
      <c r="B14" t="s">
        <v>28</v>
      </c>
      <c r="C14" t="s">
        <v>7</v>
      </c>
      <c r="D14">
        <v>1645</v>
      </c>
      <c r="E14">
        <f t="shared" si="0"/>
        <v>1</v>
      </c>
      <c r="F14" s="2" t="str">
        <f t="shared" si="1"/>
        <v/>
      </c>
      <c r="G14" s="2">
        <f>IF(E14=1,SUM(F$3:$F13),"")</f>
        <v>0.16666666666666666</v>
      </c>
      <c r="I14" t="s">
        <v>16</v>
      </c>
    </row>
    <row r="15" spans="1:12" x14ac:dyDescent="0.3">
      <c r="A15">
        <v>14</v>
      </c>
      <c r="B15" t="s">
        <v>29</v>
      </c>
      <c r="C15" t="s">
        <v>5</v>
      </c>
      <c r="D15">
        <v>1639</v>
      </c>
      <c r="E15">
        <f t="shared" si="0"/>
        <v>1</v>
      </c>
      <c r="F15" s="2" t="str">
        <f t="shared" si="1"/>
        <v/>
      </c>
      <c r="G15" s="2">
        <f>IF(E15=1,SUM(F$3:$F14),"")</f>
        <v>0.16666666666666666</v>
      </c>
      <c r="I15" t="s">
        <v>62</v>
      </c>
    </row>
    <row r="16" spans="1:12" x14ac:dyDescent="0.3">
      <c r="A16">
        <v>15</v>
      </c>
      <c r="B16" t="s">
        <v>25</v>
      </c>
      <c r="C16" t="s">
        <v>4</v>
      </c>
      <c r="D16">
        <v>1636</v>
      </c>
      <c r="E16">
        <f t="shared" si="0"/>
        <v>1</v>
      </c>
      <c r="F16" s="2" t="str">
        <f t="shared" si="1"/>
        <v/>
      </c>
      <c r="G16" s="2">
        <f>IF(E16=1,SUM(F$3:$F15),"")</f>
        <v>0.16666666666666666</v>
      </c>
      <c r="I16" t="s">
        <v>45</v>
      </c>
    </row>
    <row r="17" spans="1:9" x14ac:dyDescent="0.3">
      <c r="A17">
        <v>16</v>
      </c>
      <c r="B17" t="s">
        <v>79</v>
      </c>
      <c r="C17" t="s">
        <v>7</v>
      </c>
      <c r="D17">
        <v>1627</v>
      </c>
      <c r="E17">
        <f t="shared" si="0"/>
        <v>1</v>
      </c>
      <c r="F17" s="2" t="str">
        <f t="shared" si="1"/>
        <v/>
      </c>
      <c r="G17" s="2">
        <f>IF(E17=1,SUM(F$3:$F16),"")</f>
        <v>0.16666666666666666</v>
      </c>
      <c r="I17" t="s">
        <v>42</v>
      </c>
    </row>
    <row r="18" spans="1:9" x14ac:dyDescent="0.3">
      <c r="A18">
        <v>17</v>
      </c>
      <c r="B18" t="s">
        <v>11</v>
      </c>
      <c r="C18" t="s">
        <v>5</v>
      </c>
      <c r="D18">
        <v>1611</v>
      </c>
      <c r="E18">
        <f t="shared" si="0"/>
        <v>0</v>
      </c>
      <c r="F18" s="2">
        <f t="shared" si="1"/>
        <v>5.8823529411764705E-2</v>
      </c>
      <c r="G18" s="2" t="str">
        <f>IF(E18=1,SUM(F$3:$F17),"")</f>
        <v/>
      </c>
      <c r="I18" t="s">
        <v>57</v>
      </c>
    </row>
    <row r="19" spans="1:9" x14ac:dyDescent="0.3">
      <c r="A19">
        <v>18</v>
      </c>
      <c r="B19" t="s">
        <v>60</v>
      </c>
      <c r="C19" t="s">
        <v>6</v>
      </c>
      <c r="D19">
        <v>1584</v>
      </c>
      <c r="E19">
        <f t="shared" si="0"/>
        <v>1</v>
      </c>
      <c r="F19" s="2" t="str">
        <f t="shared" si="1"/>
        <v/>
      </c>
      <c r="G19" s="2">
        <f>IF(E19=1,SUM(F$3:$F18),"")</f>
        <v>0.22549019607843135</v>
      </c>
      <c r="I19" t="s">
        <v>29</v>
      </c>
    </row>
    <row r="20" spans="1:9" x14ac:dyDescent="0.3">
      <c r="A20">
        <v>19</v>
      </c>
      <c r="B20" t="s">
        <v>43</v>
      </c>
      <c r="C20" t="s">
        <v>4</v>
      </c>
      <c r="D20">
        <v>1570</v>
      </c>
      <c r="E20">
        <f t="shared" si="0"/>
        <v>1</v>
      </c>
      <c r="F20" s="2" t="str">
        <f t="shared" si="1"/>
        <v/>
      </c>
      <c r="G20" s="2">
        <f>IF(E20=1,SUM(F$3:$F19),"")</f>
        <v>0.22549019607843135</v>
      </c>
      <c r="I20" t="s">
        <v>47</v>
      </c>
    </row>
    <row r="21" spans="1:9" x14ac:dyDescent="0.3">
      <c r="A21">
        <v>20</v>
      </c>
      <c r="B21" t="s">
        <v>62</v>
      </c>
      <c r="C21" t="s">
        <v>9</v>
      </c>
      <c r="D21">
        <v>1565</v>
      </c>
      <c r="E21">
        <f t="shared" si="0"/>
        <v>1</v>
      </c>
      <c r="F21" s="2" t="str">
        <f t="shared" si="1"/>
        <v/>
      </c>
      <c r="G21" s="2">
        <f>IF(E21=1,SUM(F$3:$F20),"")</f>
        <v>0.22549019607843135</v>
      </c>
      <c r="I21" t="s">
        <v>59</v>
      </c>
    </row>
    <row r="22" spans="1:9" x14ac:dyDescent="0.3">
      <c r="A22">
        <v>21</v>
      </c>
      <c r="B22" t="s">
        <v>108</v>
      </c>
      <c r="C22" t="s">
        <v>4</v>
      </c>
      <c r="D22">
        <v>1564</v>
      </c>
      <c r="E22">
        <f t="shared" si="0"/>
        <v>1</v>
      </c>
      <c r="F22" s="2" t="str">
        <f t="shared" si="1"/>
        <v/>
      </c>
      <c r="G22" s="2">
        <f>IF(E22=1,SUM(F$3:$F21),"")</f>
        <v>0.22549019607843135</v>
      </c>
      <c r="I22" t="s">
        <v>35</v>
      </c>
    </row>
    <row r="23" spans="1:9" x14ac:dyDescent="0.3">
      <c r="A23">
        <v>22</v>
      </c>
      <c r="B23" t="s">
        <v>37</v>
      </c>
      <c r="C23" t="s">
        <v>6</v>
      </c>
      <c r="D23">
        <v>1564</v>
      </c>
      <c r="E23">
        <f t="shared" si="0"/>
        <v>1</v>
      </c>
      <c r="F23" s="2" t="str">
        <f t="shared" si="1"/>
        <v/>
      </c>
      <c r="G23" s="2">
        <f>IF(E23=1,SUM(F$3:$F22),"")</f>
        <v>0.22549019607843135</v>
      </c>
      <c r="I23" t="s">
        <v>60</v>
      </c>
    </row>
    <row r="24" spans="1:9" x14ac:dyDescent="0.3">
      <c r="A24">
        <v>23</v>
      </c>
      <c r="B24" t="s">
        <v>70</v>
      </c>
      <c r="C24" t="s">
        <v>5</v>
      </c>
      <c r="D24">
        <v>1561</v>
      </c>
      <c r="E24">
        <f t="shared" si="0"/>
        <v>0</v>
      </c>
      <c r="F24" s="2">
        <f t="shared" si="1"/>
        <v>4.3478260869565216E-2</v>
      </c>
      <c r="G24" s="2" t="str">
        <f>IF(E24=1,SUM(F$3:$F23),"")</f>
        <v/>
      </c>
      <c r="I24" t="s">
        <v>40</v>
      </c>
    </row>
    <row r="25" spans="1:9" x14ac:dyDescent="0.3">
      <c r="A25">
        <v>24</v>
      </c>
      <c r="B25" t="s">
        <v>57</v>
      </c>
      <c r="C25" t="s">
        <v>9</v>
      </c>
      <c r="D25">
        <v>1560</v>
      </c>
      <c r="E25">
        <f t="shared" si="0"/>
        <v>1</v>
      </c>
      <c r="F25" s="2" t="str">
        <f t="shared" si="1"/>
        <v/>
      </c>
      <c r="G25" s="2">
        <f>IF(E25=1,SUM(F$3:$F24),"")</f>
        <v>0.26896845694799654</v>
      </c>
      <c r="I25" t="s">
        <v>32</v>
      </c>
    </row>
    <row r="26" spans="1:9" x14ac:dyDescent="0.3">
      <c r="A26">
        <v>25</v>
      </c>
      <c r="B26" t="s">
        <v>24</v>
      </c>
      <c r="C26" t="s">
        <v>4</v>
      </c>
      <c r="D26">
        <v>1553</v>
      </c>
      <c r="E26">
        <f t="shared" si="0"/>
        <v>0</v>
      </c>
      <c r="F26" s="2">
        <f t="shared" si="1"/>
        <v>0.04</v>
      </c>
      <c r="G26" s="2" t="str">
        <f>IF(E26=1,SUM(F$3:$F25),"")</f>
        <v/>
      </c>
      <c r="I26" t="s">
        <v>38</v>
      </c>
    </row>
    <row r="27" spans="1:9" x14ac:dyDescent="0.3">
      <c r="A27">
        <v>26</v>
      </c>
      <c r="B27" t="s">
        <v>40</v>
      </c>
      <c r="C27" t="s">
        <v>4</v>
      </c>
      <c r="D27">
        <v>1549</v>
      </c>
      <c r="E27">
        <f t="shared" si="0"/>
        <v>1</v>
      </c>
      <c r="F27" s="2" t="str">
        <f t="shared" si="1"/>
        <v/>
      </c>
      <c r="G27" s="2">
        <f>IF(E27=1,SUM(F$3:$F26),"")</f>
        <v>0.30896845694799652</v>
      </c>
      <c r="I27" t="s">
        <v>37</v>
      </c>
    </row>
    <row r="28" spans="1:9" x14ac:dyDescent="0.3">
      <c r="A28">
        <v>27</v>
      </c>
      <c r="B28" t="s">
        <v>94</v>
      </c>
      <c r="C28" t="s">
        <v>4</v>
      </c>
      <c r="D28">
        <v>1537</v>
      </c>
      <c r="E28">
        <f t="shared" si="0"/>
        <v>0</v>
      </c>
      <c r="F28" s="2">
        <f t="shared" si="1"/>
        <v>3.7037037037037035E-2</v>
      </c>
      <c r="G28" s="2" t="str">
        <f>IF(E28=1,SUM(F$3:$F27),"")</f>
        <v/>
      </c>
      <c r="I28" t="s">
        <v>33</v>
      </c>
    </row>
    <row r="29" spans="1:9" x14ac:dyDescent="0.3">
      <c r="A29">
        <v>28</v>
      </c>
      <c r="B29" t="s">
        <v>45</v>
      </c>
      <c r="C29" t="s">
        <v>9</v>
      </c>
      <c r="D29">
        <v>1530</v>
      </c>
      <c r="E29">
        <f t="shared" si="0"/>
        <v>1</v>
      </c>
      <c r="F29" s="2" t="str">
        <f t="shared" si="1"/>
        <v/>
      </c>
      <c r="G29" s="2">
        <f>IF(E29=1,SUM(F$3:$F28),"")</f>
        <v>0.34600549398503355</v>
      </c>
      <c r="I29" t="s">
        <v>79</v>
      </c>
    </row>
    <row r="30" spans="1:9" x14ac:dyDescent="0.3">
      <c r="A30">
        <v>29</v>
      </c>
      <c r="B30" t="s">
        <v>48</v>
      </c>
      <c r="C30" t="s">
        <v>5</v>
      </c>
      <c r="D30">
        <v>1510</v>
      </c>
      <c r="E30">
        <f t="shared" si="0"/>
        <v>0</v>
      </c>
      <c r="F30" s="2">
        <f t="shared" si="1"/>
        <v>3.4482758620689655E-2</v>
      </c>
      <c r="G30" s="2" t="str">
        <f>IF(E30=1,SUM(F$3:$F29),"")</f>
        <v/>
      </c>
      <c r="I30" t="s">
        <v>28</v>
      </c>
    </row>
    <row r="31" spans="1:9" x14ac:dyDescent="0.3">
      <c r="A31">
        <v>30</v>
      </c>
      <c r="B31" t="s">
        <v>38</v>
      </c>
      <c r="C31" t="s">
        <v>6</v>
      </c>
      <c r="D31">
        <v>1508</v>
      </c>
      <c r="E31">
        <f t="shared" si="0"/>
        <v>1</v>
      </c>
      <c r="F31" s="2" t="str">
        <f t="shared" si="1"/>
        <v/>
      </c>
      <c r="G31" s="2">
        <f>IF(E31=1,SUM(F$3:$F30),"")</f>
        <v>0.38048825260572322</v>
      </c>
      <c r="I31" t="s">
        <v>43</v>
      </c>
    </row>
    <row r="32" spans="1:9" x14ac:dyDescent="0.3">
      <c r="A32">
        <v>31</v>
      </c>
      <c r="B32" t="s">
        <v>56</v>
      </c>
      <c r="C32" t="s">
        <v>7</v>
      </c>
      <c r="D32">
        <v>1504</v>
      </c>
      <c r="E32">
        <f t="shared" si="0"/>
        <v>1</v>
      </c>
      <c r="F32" s="2" t="str">
        <f t="shared" si="1"/>
        <v/>
      </c>
      <c r="G32" s="2">
        <f>IF(E32=1,SUM(F$3:$F31),"")</f>
        <v>0.38048825260572322</v>
      </c>
      <c r="I32" t="s">
        <v>52</v>
      </c>
    </row>
    <row r="33" spans="1:9" x14ac:dyDescent="0.3">
      <c r="A33">
        <v>32</v>
      </c>
      <c r="B33" t="s">
        <v>13</v>
      </c>
      <c r="C33" t="s">
        <v>6</v>
      </c>
      <c r="D33">
        <v>1498</v>
      </c>
      <c r="E33">
        <f t="shared" si="0"/>
        <v>0</v>
      </c>
      <c r="F33" s="2">
        <f t="shared" si="1"/>
        <v>3.125E-2</v>
      </c>
      <c r="G33" s="2" t="str">
        <f>IF(E33=1,SUM(F$3:$F32),"")</f>
        <v/>
      </c>
      <c r="I33" t="s">
        <v>56</v>
      </c>
    </row>
    <row r="34" spans="1:9" x14ac:dyDescent="0.3">
      <c r="A34">
        <v>33</v>
      </c>
      <c r="B34" t="s">
        <v>10</v>
      </c>
      <c r="C34" t="s">
        <v>4</v>
      </c>
      <c r="D34">
        <v>1496</v>
      </c>
      <c r="E34">
        <f t="shared" si="0"/>
        <v>0</v>
      </c>
      <c r="F34" s="2">
        <f t="shared" si="1"/>
        <v>3.0303030303030304E-2</v>
      </c>
      <c r="G34" s="2" t="str">
        <f>IF(E34=1,SUM(F$3:$F33),"")</f>
        <v/>
      </c>
    </row>
    <row r="35" spans="1:9" x14ac:dyDescent="0.3">
      <c r="A35">
        <v>34</v>
      </c>
      <c r="B35" t="s">
        <v>44</v>
      </c>
      <c r="C35" t="s">
        <v>4</v>
      </c>
      <c r="D35">
        <v>1493</v>
      </c>
      <c r="E35">
        <f t="shared" si="0"/>
        <v>0</v>
      </c>
      <c r="F35" s="2">
        <f t="shared" si="1"/>
        <v>2.9411764705882353E-2</v>
      </c>
      <c r="G35" s="2" t="str">
        <f>IF(E35=1,SUM(F$3:$F34),"")</f>
        <v/>
      </c>
    </row>
    <row r="36" spans="1:9" x14ac:dyDescent="0.3">
      <c r="A36">
        <v>35</v>
      </c>
      <c r="B36" t="s">
        <v>81</v>
      </c>
      <c r="C36" t="s">
        <v>4</v>
      </c>
      <c r="D36">
        <v>1492</v>
      </c>
      <c r="E36">
        <f t="shared" si="0"/>
        <v>0</v>
      </c>
      <c r="F36" s="2">
        <f t="shared" si="1"/>
        <v>2.8571428571428571E-2</v>
      </c>
      <c r="G36" s="2" t="str">
        <f>IF(E36=1,SUM(F$3:$F35),"")</f>
        <v/>
      </c>
    </row>
    <row r="37" spans="1:9" x14ac:dyDescent="0.3">
      <c r="A37">
        <v>36</v>
      </c>
      <c r="B37" t="s">
        <v>61</v>
      </c>
      <c r="C37" t="s">
        <v>4</v>
      </c>
      <c r="D37">
        <v>1492</v>
      </c>
      <c r="E37">
        <f t="shared" si="0"/>
        <v>0</v>
      </c>
      <c r="F37" s="2">
        <f t="shared" si="1"/>
        <v>2.7777777777777776E-2</v>
      </c>
      <c r="G37" s="2" t="str">
        <f>IF(E37=1,SUM(F$3:$F36),"")</f>
        <v/>
      </c>
    </row>
    <row r="38" spans="1:9" x14ac:dyDescent="0.3">
      <c r="A38">
        <v>37</v>
      </c>
      <c r="B38" t="s">
        <v>53</v>
      </c>
      <c r="C38" t="s">
        <v>6</v>
      </c>
      <c r="D38">
        <v>1489</v>
      </c>
      <c r="E38">
        <f t="shared" si="0"/>
        <v>0</v>
      </c>
      <c r="F38" s="2">
        <f t="shared" si="1"/>
        <v>2.7027027027027029E-2</v>
      </c>
      <c r="G38" s="2" t="str">
        <f>IF(E38=1,SUM(F$3:$F37),"")</f>
        <v/>
      </c>
    </row>
    <row r="39" spans="1:9" x14ac:dyDescent="0.3">
      <c r="A39">
        <v>38</v>
      </c>
      <c r="B39" t="s">
        <v>52</v>
      </c>
      <c r="C39" t="s">
        <v>9</v>
      </c>
      <c r="D39">
        <v>1489</v>
      </c>
      <c r="E39">
        <f t="shared" si="0"/>
        <v>1</v>
      </c>
      <c r="F39" s="2" t="str">
        <f t="shared" si="1"/>
        <v/>
      </c>
      <c r="G39" s="2">
        <f>IF(E39=1,SUM(F$3:$F38),"")</f>
        <v>0.55482928099086926</v>
      </c>
    </row>
    <row r="40" spans="1:9" x14ac:dyDescent="0.3">
      <c r="A40">
        <v>39</v>
      </c>
      <c r="B40" t="s">
        <v>34</v>
      </c>
      <c r="C40" t="s">
        <v>6</v>
      </c>
      <c r="D40">
        <v>1486</v>
      </c>
      <c r="E40">
        <f t="shared" si="0"/>
        <v>0</v>
      </c>
      <c r="F40" s="2">
        <f t="shared" si="1"/>
        <v>2.564102564102564E-2</v>
      </c>
      <c r="G40" s="2" t="str">
        <f>IF(E40=1,SUM(F$3:$F39),"")</f>
        <v/>
      </c>
    </row>
    <row r="41" spans="1:9" x14ac:dyDescent="0.3">
      <c r="A41">
        <v>40</v>
      </c>
      <c r="B41" t="s">
        <v>41</v>
      </c>
      <c r="C41" t="s">
        <v>4</v>
      </c>
      <c r="D41">
        <v>1480</v>
      </c>
      <c r="E41">
        <f t="shared" si="0"/>
        <v>0</v>
      </c>
      <c r="F41" s="2">
        <f t="shared" si="1"/>
        <v>2.5000000000000001E-2</v>
      </c>
      <c r="G41" s="2" t="str">
        <f>IF(E41=1,SUM(F$3:$F40),"")</f>
        <v/>
      </c>
    </row>
    <row r="42" spans="1:9" x14ac:dyDescent="0.3">
      <c r="A42">
        <v>41</v>
      </c>
      <c r="B42" t="s">
        <v>59</v>
      </c>
      <c r="C42" t="s">
        <v>7</v>
      </c>
      <c r="D42">
        <v>1475</v>
      </c>
      <c r="E42">
        <f t="shared" si="0"/>
        <v>1</v>
      </c>
      <c r="F42" s="2" t="str">
        <f t="shared" si="1"/>
        <v/>
      </c>
      <c r="G42" s="2">
        <f>IF(E42=1,SUM(F$3:$F41),"")</f>
        <v>0.60547030663189494</v>
      </c>
    </row>
    <row r="43" spans="1:9" x14ac:dyDescent="0.3">
      <c r="A43">
        <v>42</v>
      </c>
      <c r="B43" t="s">
        <v>22</v>
      </c>
      <c r="C43" t="s">
        <v>4</v>
      </c>
      <c r="D43">
        <v>1473</v>
      </c>
      <c r="E43">
        <f t="shared" si="0"/>
        <v>0</v>
      </c>
      <c r="F43" s="2">
        <f t="shared" si="1"/>
        <v>2.3809523809523808E-2</v>
      </c>
      <c r="G43" s="2" t="str">
        <f>IF(E43=1,SUM(F$3:$F42),"")</f>
        <v/>
      </c>
    </row>
    <row r="44" spans="1:9" x14ac:dyDescent="0.3">
      <c r="A44">
        <v>43</v>
      </c>
      <c r="B44" t="s">
        <v>33</v>
      </c>
      <c r="C44" t="s">
        <v>6</v>
      </c>
      <c r="D44">
        <v>1471</v>
      </c>
      <c r="E44">
        <f t="shared" si="0"/>
        <v>1</v>
      </c>
      <c r="F44" s="2" t="str">
        <f t="shared" si="1"/>
        <v/>
      </c>
      <c r="G44" s="2">
        <f>IF(E44=1,SUM(F$3:$F43),"")</f>
        <v>0.62927983044141877</v>
      </c>
    </row>
    <row r="45" spans="1:9" x14ac:dyDescent="0.3">
      <c r="A45">
        <v>44</v>
      </c>
      <c r="B45" t="s">
        <v>47</v>
      </c>
      <c r="C45" t="s">
        <v>5</v>
      </c>
      <c r="D45">
        <v>1464</v>
      </c>
      <c r="E45">
        <f t="shared" si="0"/>
        <v>1</v>
      </c>
      <c r="F45" s="2" t="str">
        <f t="shared" si="1"/>
        <v/>
      </c>
      <c r="G45" s="2">
        <f>IF(E45=1,SUM(F$3:$F44),"")</f>
        <v>0.62927983044141877</v>
      </c>
    </row>
    <row r="46" spans="1:9" x14ac:dyDescent="0.3">
      <c r="A46">
        <v>45</v>
      </c>
      <c r="B46" t="s">
        <v>129</v>
      </c>
      <c r="C46" t="s">
        <v>4</v>
      </c>
      <c r="D46">
        <v>1460</v>
      </c>
      <c r="E46">
        <f t="shared" si="0"/>
        <v>0</v>
      </c>
      <c r="F46" s="2">
        <f t="shared" si="1"/>
        <v>2.2222222222222223E-2</v>
      </c>
      <c r="G46" s="2" t="str">
        <f>IF(E46=1,SUM(F$3:$F45),"")</f>
        <v/>
      </c>
    </row>
    <row r="47" spans="1:9" x14ac:dyDescent="0.3">
      <c r="A47">
        <v>46</v>
      </c>
      <c r="B47" t="s">
        <v>54</v>
      </c>
      <c r="C47" t="s">
        <v>6</v>
      </c>
      <c r="D47">
        <v>1449</v>
      </c>
      <c r="E47">
        <f t="shared" si="0"/>
        <v>0</v>
      </c>
      <c r="F47" s="2">
        <f t="shared" si="1"/>
        <v>2.1739130434782608E-2</v>
      </c>
      <c r="G47" s="2" t="str">
        <f>IF(E47=1,SUM(F$3:$F46),"")</f>
        <v/>
      </c>
    </row>
    <row r="48" spans="1:9" x14ac:dyDescent="0.3">
      <c r="A48">
        <v>47</v>
      </c>
      <c r="B48" t="s">
        <v>64</v>
      </c>
      <c r="C48" t="s">
        <v>5</v>
      </c>
      <c r="D48">
        <v>1449</v>
      </c>
      <c r="E48">
        <f t="shared" si="0"/>
        <v>0</v>
      </c>
      <c r="F48" s="2">
        <f t="shared" si="1"/>
        <v>2.1276595744680851E-2</v>
      </c>
      <c r="G48" s="2" t="str">
        <f>IF(E48=1,SUM(F$3:$F47),"")</f>
        <v/>
      </c>
    </row>
    <row r="49" spans="1:7" x14ac:dyDescent="0.3">
      <c r="A49">
        <v>48</v>
      </c>
      <c r="B49" t="s">
        <v>31</v>
      </c>
      <c r="C49" t="s">
        <v>6</v>
      </c>
      <c r="D49">
        <v>1443</v>
      </c>
      <c r="E49">
        <f t="shared" si="0"/>
        <v>0</v>
      </c>
      <c r="F49" s="2">
        <f t="shared" si="1"/>
        <v>2.0833333333333332E-2</v>
      </c>
      <c r="G49" s="2" t="str">
        <f>IF(E49=1,SUM(F$3:$F48),"")</f>
        <v/>
      </c>
    </row>
    <row r="50" spans="1:7" x14ac:dyDescent="0.3">
      <c r="A50">
        <v>49</v>
      </c>
      <c r="B50" t="s">
        <v>83</v>
      </c>
      <c r="C50" t="s">
        <v>4</v>
      </c>
      <c r="D50">
        <v>1440</v>
      </c>
      <c r="E50">
        <f t="shared" si="0"/>
        <v>0</v>
      </c>
      <c r="F50" s="2">
        <f t="shared" si="1"/>
        <v>2.0408163265306121E-2</v>
      </c>
      <c r="G50" s="2" t="str">
        <f>IF(E50=1,SUM(F$3:$F49),"")</f>
        <v/>
      </c>
    </row>
    <row r="51" spans="1:7" x14ac:dyDescent="0.3">
      <c r="A51">
        <v>50</v>
      </c>
      <c r="B51" t="s">
        <v>72</v>
      </c>
      <c r="C51" t="s">
        <v>9</v>
      </c>
      <c r="D51">
        <v>1440</v>
      </c>
      <c r="E51">
        <f t="shared" si="0"/>
        <v>1</v>
      </c>
      <c r="F51" s="2" t="str">
        <f t="shared" si="1"/>
        <v/>
      </c>
      <c r="G51" s="2">
        <f>IF(E51=1,SUM(F$3:$F50),"")</f>
        <v>0.73575927544174402</v>
      </c>
    </row>
    <row r="52" spans="1:7" x14ac:dyDescent="0.3">
      <c r="A52">
        <v>51</v>
      </c>
      <c r="B52" t="s">
        <v>42</v>
      </c>
      <c r="C52" t="s">
        <v>9</v>
      </c>
      <c r="D52">
        <v>1438</v>
      </c>
      <c r="E52">
        <f t="shared" si="0"/>
        <v>1</v>
      </c>
      <c r="F52" s="2" t="str">
        <f t="shared" si="1"/>
        <v/>
      </c>
      <c r="G52" s="2">
        <f>IF(E52=1,SUM(F$3:$F51),"")</f>
        <v>0.73575927544174402</v>
      </c>
    </row>
    <row r="53" spans="1:7" x14ac:dyDescent="0.3">
      <c r="A53">
        <v>52</v>
      </c>
      <c r="B53" t="s">
        <v>39</v>
      </c>
      <c r="C53" t="s">
        <v>4</v>
      </c>
      <c r="D53">
        <v>1438</v>
      </c>
      <c r="E53">
        <f t="shared" si="0"/>
        <v>0</v>
      </c>
      <c r="F53" s="2">
        <f t="shared" si="1"/>
        <v>1.9230769230769232E-2</v>
      </c>
      <c r="G53" s="2" t="str">
        <f>IF(E53=1,SUM(F$3:$F52),"")</f>
        <v/>
      </c>
    </row>
    <row r="54" spans="1:7" x14ac:dyDescent="0.3">
      <c r="A54">
        <v>53</v>
      </c>
      <c r="B54" t="s">
        <v>14</v>
      </c>
      <c r="C54" t="s">
        <v>4</v>
      </c>
      <c r="D54">
        <v>1435</v>
      </c>
      <c r="E54">
        <f t="shared" si="0"/>
        <v>0</v>
      </c>
      <c r="F54" s="2">
        <f t="shared" si="1"/>
        <v>1.8867924528301886E-2</v>
      </c>
      <c r="G54" s="2" t="str">
        <f>IF(E54=1,SUM(F$3:$F53),"")</f>
        <v/>
      </c>
    </row>
    <row r="55" spans="1:7" x14ac:dyDescent="0.3">
      <c r="A55">
        <v>54</v>
      </c>
      <c r="B55" t="s">
        <v>95</v>
      </c>
      <c r="C55" t="s">
        <v>6</v>
      </c>
      <c r="D55">
        <v>1432</v>
      </c>
      <c r="E55">
        <f t="shared" si="0"/>
        <v>0</v>
      </c>
      <c r="F55" s="2">
        <f t="shared" si="1"/>
        <v>1.8518518518518517E-2</v>
      </c>
      <c r="G55" s="2" t="str">
        <f>IF(E55=1,SUM(F$3:$F54),"")</f>
        <v/>
      </c>
    </row>
    <row r="56" spans="1:7" x14ac:dyDescent="0.3">
      <c r="A56">
        <v>55</v>
      </c>
      <c r="B56" t="s">
        <v>50</v>
      </c>
      <c r="C56" t="s">
        <v>4</v>
      </c>
      <c r="D56">
        <v>1426</v>
      </c>
      <c r="E56">
        <f t="shared" si="0"/>
        <v>0</v>
      </c>
      <c r="F56" s="2">
        <f t="shared" si="1"/>
        <v>1.8181818181818181E-2</v>
      </c>
      <c r="G56" s="2" t="str">
        <f>IF(E56=1,SUM(F$3:$F55),"")</f>
        <v/>
      </c>
    </row>
    <row r="57" spans="1:7" x14ac:dyDescent="0.3">
      <c r="A57">
        <v>56</v>
      </c>
      <c r="B57" t="s">
        <v>51</v>
      </c>
      <c r="C57" t="s">
        <v>4</v>
      </c>
      <c r="D57">
        <v>1406</v>
      </c>
      <c r="E57">
        <f t="shared" si="0"/>
        <v>0</v>
      </c>
      <c r="F57" s="2">
        <f t="shared" si="1"/>
        <v>1.7857142857142856E-2</v>
      </c>
      <c r="G57" s="2" t="str">
        <f>IF(E57=1,SUM(F$3:$F56),"")</f>
        <v/>
      </c>
    </row>
    <row r="58" spans="1:7" x14ac:dyDescent="0.3">
      <c r="A58">
        <v>57</v>
      </c>
      <c r="B58" t="s">
        <v>107</v>
      </c>
      <c r="C58" t="s">
        <v>5</v>
      </c>
      <c r="D58">
        <v>1404</v>
      </c>
      <c r="E58">
        <f t="shared" si="0"/>
        <v>0</v>
      </c>
      <c r="F58" s="2">
        <f t="shared" si="1"/>
        <v>1.7543859649122806E-2</v>
      </c>
      <c r="G58" s="2" t="str">
        <f>IF(E58=1,SUM(F$3:$F57),"")</f>
        <v/>
      </c>
    </row>
    <row r="59" spans="1:7" x14ac:dyDescent="0.3">
      <c r="A59">
        <v>58</v>
      </c>
      <c r="B59" t="s">
        <v>122</v>
      </c>
      <c r="C59" t="s">
        <v>4</v>
      </c>
      <c r="D59">
        <v>1404</v>
      </c>
      <c r="E59">
        <f t="shared" si="0"/>
        <v>0</v>
      </c>
      <c r="F59" s="2">
        <f t="shared" si="1"/>
        <v>1.7241379310344827E-2</v>
      </c>
      <c r="G59" s="2" t="str">
        <f>IF(E59=1,SUM(F$3:$F58),"")</f>
        <v/>
      </c>
    </row>
    <row r="60" spans="1:7" x14ac:dyDescent="0.3">
      <c r="A60">
        <v>59</v>
      </c>
      <c r="B60" t="s">
        <v>80</v>
      </c>
      <c r="C60" t="s">
        <v>4</v>
      </c>
      <c r="D60">
        <v>1397</v>
      </c>
      <c r="E60">
        <f t="shared" si="0"/>
        <v>0</v>
      </c>
      <c r="F60" s="2">
        <f t="shared" si="1"/>
        <v>1.6949152542372881E-2</v>
      </c>
      <c r="G60" s="2" t="str">
        <f>IF(E60=1,SUM(F$3:$F59),"")</f>
        <v/>
      </c>
    </row>
    <row r="61" spans="1:7" x14ac:dyDescent="0.3">
      <c r="A61">
        <v>60</v>
      </c>
      <c r="B61" t="s">
        <v>112</v>
      </c>
      <c r="C61" t="s">
        <v>7</v>
      </c>
      <c r="D61">
        <v>1393</v>
      </c>
      <c r="E61">
        <f t="shared" si="0"/>
        <v>0</v>
      </c>
      <c r="F61" s="2">
        <f t="shared" si="1"/>
        <v>1.6666666666666666E-2</v>
      </c>
      <c r="G61" s="2" t="str">
        <f>IF(E61=1,SUM(F$3:$F60),"")</f>
        <v/>
      </c>
    </row>
    <row r="62" spans="1:7" x14ac:dyDescent="0.3">
      <c r="A62">
        <v>61</v>
      </c>
      <c r="B62" t="s">
        <v>35</v>
      </c>
      <c r="C62" t="s">
        <v>6</v>
      </c>
      <c r="D62">
        <v>1393</v>
      </c>
      <c r="E62">
        <f t="shared" si="0"/>
        <v>1</v>
      </c>
      <c r="F62" s="2" t="str">
        <f t="shared" si="1"/>
        <v/>
      </c>
      <c r="G62" s="2">
        <f>IF(E62=1,SUM(F$3:$F61),"")</f>
        <v>0.89681650692680193</v>
      </c>
    </row>
    <row r="63" spans="1:7" x14ac:dyDescent="0.3">
      <c r="A63">
        <v>62</v>
      </c>
      <c r="B63" t="s">
        <v>46</v>
      </c>
      <c r="C63" t="s">
        <v>4</v>
      </c>
      <c r="D63">
        <v>1384</v>
      </c>
      <c r="E63">
        <f t="shared" si="0"/>
        <v>0</v>
      </c>
      <c r="F63" s="2">
        <f t="shared" si="1"/>
        <v>1.6129032258064516E-2</v>
      </c>
      <c r="G63" s="2" t="str">
        <f>IF(E63=1,SUM(F$3:$F62),"")</f>
        <v/>
      </c>
    </row>
    <row r="64" spans="1:7" x14ac:dyDescent="0.3">
      <c r="A64">
        <v>63</v>
      </c>
      <c r="B64" t="s">
        <v>101</v>
      </c>
      <c r="C64" t="s">
        <v>4</v>
      </c>
      <c r="D64">
        <v>1384</v>
      </c>
      <c r="E64">
        <f t="shared" si="0"/>
        <v>0</v>
      </c>
      <c r="F64" s="2">
        <f t="shared" si="1"/>
        <v>1.5873015873015872E-2</v>
      </c>
      <c r="G64" s="2" t="str">
        <f>IF(E64=1,SUM(F$3:$F63),"")</f>
        <v/>
      </c>
    </row>
    <row r="65" spans="1:7" x14ac:dyDescent="0.3">
      <c r="A65">
        <v>64</v>
      </c>
      <c r="B65" t="s">
        <v>73</v>
      </c>
      <c r="C65" t="s">
        <v>7</v>
      </c>
      <c r="D65">
        <v>1379</v>
      </c>
      <c r="E65">
        <f t="shared" si="0"/>
        <v>0</v>
      </c>
      <c r="F65" s="2">
        <f t="shared" si="1"/>
        <v>1.5625E-2</v>
      </c>
      <c r="G65" s="2" t="str">
        <f>IF(E65=1,SUM(F$3:$F64),"")</f>
        <v/>
      </c>
    </row>
    <row r="66" spans="1:7" x14ac:dyDescent="0.3">
      <c r="A66">
        <v>65</v>
      </c>
      <c r="B66" t="s">
        <v>97</v>
      </c>
      <c r="C66" t="s">
        <v>4</v>
      </c>
      <c r="D66">
        <v>1359</v>
      </c>
      <c r="E66">
        <f t="shared" si="0"/>
        <v>0</v>
      </c>
      <c r="F66" s="2">
        <f t="shared" si="1"/>
        <v>1.5384615384615385E-2</v>
      </c>
      <c r="G66" s="2" t="str">
        <f>IF(E66=1,SUM(F$3:$F65),"")</f>
        <v/>
      </c>
    </row>
    <row r="67" spans="1:7" x14ac:dyDescent="0.3">
      <c r="A67">
        <v>66</v>
      </c>
      <c r="B67" t="s">
        <v>117</v>
      </c>
      <c r="C67" t="s">
        <v>4</v>
      </c>
      <c r="D67">
        <v>1354</v>
      </c>
      <c r="E67">
        <f t="shared" ref="E67:E76" si="2">IF(COUNTIF($I$2:$I$33,B67)&gt;0,1,0)</f>
        <v>0</v>
      </c>
      <c r="F67" s="2">
        <f t="shared" ref="F67:F76" si="3">IF(E67=1,"",1/A67)</f>
        <v>1.5151515151515152E-2</v>
      </c>
      <c r="G67" s="2" t="str">
        <f>IF(E67=1,SUM(F$3:$F66),"")</f>
        <v/>
      </c>
    </row>
    <row r="68" spans="1:7" x14ac:dyDescent="0.3">
      <c r="A68">
        <v>67</v>
      </c>
      <c r="B68" t="s">
        <v>89</v>
      </c>
      <c r="C68" t="s">
        <v>6</v>
      </c>
      <c r="D68">
        <v>1350</v>
      </c>
      <c r="E68">
        <f t="shared" si="2"/>
        <v>0</v>
      </c>
      <c r="F68" s="2">
        <f t="shared" si="3"/>
        <v>1.4925373134328358E-2</v>
      </c>
      <c r="G68" s="2" t="str">
        <f>IF(E68=1,SUM(F$3:$F67),"")</f>
        <v/>
      </c>
    </row>
    <row r="69" spans="1:7" x14ac:dyDescent="0.3">
      <c r="A69">
        <v>68</v>
      </c>
      <c r="B69" t="s">
        <v>68</v>
      </c>
      <c r="C69" t="s">
        <v>9</v>
      </c>
      <c r="D69">
        <v>1343</v>
      </c>
      <c r="E69">
        <f t="shared" si="2"/>
        <v>0</v>
      </c>
      <c r="F69" s="2">
        <f t="shared" si="3"/>
        <v>1.4705882352941176E-2</v>
      </c>
      <c r="G69" s="2" t="str">
        <f>IF(E69=1,SUM(F$3:$F68),"")</f>
        <v/>
      </c>
    </row>
    <row r="70" spans="1:7" x14ac:dyDescent="0.3">
      <c r="A70">
        <v>69</v>
      </c>
      <c r="B70" t="s">
        <v>110</v>
      </c>
      <c r="C70" t="s">
        <v>4</v>
      </c>
      <c r="D70">
        <v>1341</v>
      </c>
      <c r="E70">
        <f t="shared" si="2"/>
        <v>0</v>
      </c>
      <c r="F70" s="2">
        <f t="shared" si="3"/>
        <v>1.4492753623188406E-2</v>
      </c>
      <c r="G70" s="2" t="str">
        <f>IF(E70=1,SUM(F$3:$F69),"")</f>
        <v/>
      </c>
    </row>
    <row r="71" spans="1:7" x14ac:dyDescent="0.3">
      <c r="A71">
        <v>70</v>
      </c>
      <c r="B71" t="s">
        <v>82</v>
      </c>
      <c r="C71" t="s">
        <v>9</v>
      </c>
      <c r="D71">
        <v>1338</v>
      </c>
      <c r="E71">
        <f t="shared" si="2"/>
        <v>0</v>
      </c>
      <c r="F71" s="2">
        <f t="shared" si="3"/>
        <v>1.4285714285714285E-2</v>
      </c>
      <c r="G71" s="2" t="str">
        <f>IF(E71=1,SUM(F$3:$F70),"")</f>
        <v/>
      </c>
    </row>
    <row r="72" spans="1:7" x14ac:dyDescent="0.3">
      <c r="A72">
        <v>71</v>
      </c>
      <c r="B72" t="s">
        <v>114</v>
      </c>
      <c r="C72" t="s">
        <v>6</v>
      </c>
      <c r="D72">
        <v>1336</v>
      </c>
      <c r="E72">
        <f t="shared" si="2"/>
        <v>0</v>
      </c>
      <c r="F72" s="2">
        <f t="shared" si="3"/>
        <v>1.4084507042253521E-2</v>
      </c>
      <c r="G72" s="2" t="str">
        <f>IF(E72=1,SUM(F$3:$F71),"")</f>
        <v/>
      </c>
    </row>
    <row r="73" spans="1:7" x14ac:dyDescent="0.3">
      <c r="A73">
        <v>72</v>
      </c>
      <c r="B73" t="s">
        <v>15</v>
      </c>
      <c r="C73" t="s">
        <v>4</v>
      </c>
      <c r="D73">
        <v>1335</v>
      </c>
      <c r="E73">
        <f t="shared" si="2"/>
        <v>0</v>
      </c>
      <c r="F73" s="2">
        <f t="shared" si="3"/>
        <v>1.3888888888888888E-2</v>
      </c>
      <c r="G73" s="2" t="str">
        <f>IF(E73=1,SUM(F$3:$F72),"")</f>
        <v/>
      </c>
    </row>
    <row r="74" spans="1:7" x14ac:dyDescent="0.3">
      <c r="A74">
        <v>73</v>
      </c>
      <c r="B74" t="s">
        <v>123</v>
      </c>
      <c r="C74" t="s">
        <v>6</v>
      </c>
      <c r="D74">
        <v>1334</v>
      </c>
      <c r="E74">
        <f t="shared" si="2"/>
        <v>0</v>
      </c>
      <c r="F74" s="2">
        <f t="shared" si="3"/>
        <v>1.3698630136986301E-2</v>
      </c>
      <c r="G74" s="2" t="str">
        <f>IF(E74=1,SUM(F$3:$F73),"")</f>
        <v/>
      </c>
    </row>
    <row r="75" spans="1:7" x14ac:dyDescent="0.3">
      <c r="A75">
        <v>74</v>
      </c>
      <c r="B75" t="s">
        <v>71</v>
      </c>
      <c r="C75" t="s">
        <v>7</v>
      </c>
      <c r="D75">
        <v>1331</v>
      </c>
      <c r="E75">
        <f t="shared" si="2"/>
        <v>0</v>
      </c>
      <c r="F75" s="2">
        <f t="shared" si="3"/>
        <v>1.3513513513513514E-2</v>
      </c>
      <c r="G75" s="2" t="str">
        <f>IF(E75=1,SUM(F$3:$F74),"")</f>
        <v/>
      </c>
    </row>
    <row r="76" spans="1:7" x14ac:dyDescent="0.3">
      <c r="A76">
        <v>75</v>
      </c>
      <c r="B76" t="s">
        <v>120</v>
      </c>
      <c r="C76" t="s">
        <v>9</v>
      </c>
      <c r="D76">
        <v>1320</v>
      </c>
      <c r="E76">
        <f t="shared" si="2"/>
        <v>0</v>
      </c>
      <c r="F76" s="2">
        <f t="shared" si="3"/>
        <v>1.3333333333333334E-2</v>
      </c>
      <c r="G76" s="2" t="str">
        <f>IF(E76=1,SUM(F$3:$F75),"")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8B8E-4521-4EB5-A99E-9C566C5B1E71}">
  <dimension ref="A1:L76"/>
  <sheetViews>
    <sheetView tabSelected="1" workbookViewId="0">
      <selection activeCell="I2" sqref="I2:I49"/>
    </sheetView>
  </sheetViews>
  <sheetFormatPr defaultRowHeight="14.4" x14ac:dyDescent="0.3"/>
  <cols>
    <col min="1" max="1" width="3" bestFit="1" customWidth="1"/>
    <col min="2" max="2" width="28.44140625" bestFit="1" customWidth="1"/>
    <col min="3" max="3" width="12.77734375" bestFit="1" customWidth="1"/>
    <col min="4" max="4" width="6.21875" bestFit="1" customWidth="1"/>
    <col min="5" max="5" width="9.6640625" bestFit="1" customWidth="1"/>
    <col min="6" max="6" width="7.21875" bestFit="1" customWidth="1"/>
    <col min="7" max="7" width="15.77734375" bestFit="1" customWidth="1"/>
    <col min="9" max="9" width="11.5546875" bestFit="1" customWidth="1"/>
    <col min="11" max="11" width="32.5546875" bestFit="1" customWidth="1"/>
    <col min="12" max="12" width="5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85</v>
      </c>
      <c r="F1" s="1" t="s">
        <v>87</v>
      </c>
      <c r="G1" s="1" t="s">
        <v>141</v>
      </c>
      <c r="I1" s="1" t="s">
        <v>84</v>
      </c>
    </row>
    <row r="2" spans="1:12" x14ac:dyDescent="0.3">
      <c r="A2">
        <v>1</v>
      </c>
      <c r="B2" t="s">
        <v>21</v>
      </c>
      <c r="C2" t="s">
        <v>4</v>
      </c>
      <c r="D2">
        <v>1877</v>
      </c>
      <c r="E2">
        <f>IF(COUNTIF($I$2:$I$49,B2)&gt;0,1,0)</f>
        <v>1</v>
      </c>
      <c r="F2" s="2" t="str">
        <f t="shared" ref="F2:F33" si="0">IF(E2=1,"",1/A2)</f>
        <v/>
      </c>
      <c r="G2" s="2">
        <v>0</v>
      </c>
      <c r="I2" t="s">
        <v>59</v>
      </c>
    </row>
    <row r="3" spans="1:12" x14ac:dyDescent="0.3">
      <c r="A3">
        <v>2</v>
      </c>
      <c r="B3" t="s">
        <v>16</v>
      </c>
      <c r="C3" t="s">
        <v>5</v>
      </c>
      <c r="D3">
        <v>1873</v>
      </c>
      <c r="E3">
        <f t="shared" ref="E3:E66" si="1">IF(COUNTIF($I$2:$I$49,B3)&gt;0,1,0)</f>
        <v>1</v>
      </c>
      <c r="F3" s="2" t="str">
        <f t="shared" si="0"/>
        <v/>
      </c>
      <c r="G3" s="2">
        <f>IF(E3=1,SUM(F2:$F$3),"")</f>
        <v>0</v>
      </c>
      <c r="I3" t="s">
        <v>28</v>
      </c>
      <c r="K3" s="3" t="s">
        <v>131</v>
      </c>
      <c r="L3" s="2">
        <f>SUM(F:F)*(COUNTA(I:I)-1)</f>
        <v>33.659677971982291</v>
      </c>
    </row>
    <row r="4" spans="1:12" x14ac:dyDescent="0.3">
      <c r="A4">
        <v>3</v>
      </c>
      <c r="B4" t="s">
        <v>26</v>
      </c>
      <c r="C4" t="s">
        <v>4</v>
      </c>
      <c r="D4">
        <v>1870</v>
      </c>
      <c r="E4">
        <f t="shared" si="1"/>
        <v>1</v>
      </c>
      <c r="F4" s="2" t="str">
        <f t="shared" si="0"/>
        <v/>
      </c>
      <c r="G4" s="2">
        <f>IF(E4=1,SUM(F3:$F$3),"")</f>
        <v>0</v>
      </c>
      <c r="I4" t="s">
        <v>79</v>
      </c>
      <c r="K4" t="s">
        <v>136</v>
      </c>
      <c r="L4" s="2">
        <f>SUMIF(C:C,"UEFA",G:G)/COUNTIFS(C:C,"UEFA",E:E,1)*100</f>
        <v>13.184387382922949</v>
      </c>
    </row>
    <row r="5" spans="1:12" x14ac:dyDescent="0.3">
      <c r="A5">
        <v>4</v>
      </c>
      <c r="B5" t="s">
        <v>27</v>
      </c>
      <c r="C5" t="s">
        <v>4</v>
      </c>
      <c r="D5">
        <v>1834</v>
      </c>
      <c r="E5">
        <f t="shared" si="1"/>
        <v>1</v>
      </c>
      <c r="F5" s="2" t="str">
        <f t="shared" si="0"/>
        <v/>
      </c>
      <c r="G5" s="2">
        <f>IF(E5=1,SUM(F$3:$F4),"")</f>
        <v>0</v>
      </c>
      <c r="I5" t="s">
        <v>57</v>
      </c>
      <c r="K5" t="s">
        <v>135</v>
      </c>
      <c r="L5" s="2">
        <f>SUMIF(C:C,"CONMEBOL",G:G)/COUNTIFS(C:C,"CONMEBOL",E:E,1)*100</f>
        <v>10.190660426759745</v>
      </c>
    </row>
    <row r="6" spans="1:12" x14ac:dyDescent="0.3">
      <c r="A6">
        <v>5</v>
      </c>
      <c r="B6" t="s">
        <v>19</v>
      </c>
      <c r="C6" t="s">
        <v>5</v>
      </c>
      <c r="D6">
        <v>1760</v>
      </c>
      <c r="E6">
        <f t="shared" si="1"/>
        <v>1</v>
      </c>
      <c r="F6" s="2" t="str">
        <f t="shared" si="0"/>
        <v/>
      </c>
      <c r="G6" s="2">
        <f>IF(E6=1,SUM(F$3:$F5),"")</f>
        <v>0</v>
      </c>
      <c r="I6" t="s">
        <v>128</v>
      </c>
      <c r="K6" t="s">
        <v>134</v>
      </c>
      <c r="L6" s="2">
        <f>SUMIF(C:C,"CONCACAF",G:G)/COUNTIFS(C:C,"CONCACAF",E:E,1)*100</f>
        <v>11.607142857142854</v>
      </c>
    </row>
    <row r="7" spans="1:12" x14ac:dyDescent="0.3">
      <c r="A7">
        <v>6</v>
      </c>
      <c r="B7" t="s">
        <v>32</v>
      </c>
      <c r="C7" t="s">
        <v>4</v>
      </c>
      <c r="D7">
        <v>1760</v>
      </c>
      <c r="E7">
        <f t="shared" si="1"/>
        <v>1</v>
      </c>
      <c r="F7" s="2" t="str">
        <f t="shared" si="0"/>
        <v/>
      </c>
      <c r="G7" s="2">
        <f>IF(E7=1,SUM(F$3:$F6),"")</f>
        <v>0</v>
      </c>
      <c r="I7" t="s">
        <v>62</v>
      </c>
      <c r="K7" t="s">
        <v>133</v>
      </c>
      <c r="L7" s="2">
        <f>SUMIF(C:C,"CAF",G:G)/COUNTIFS(C:C,"CAF",E:E,1)*100</f>
        <v>36.224090233587731</v>
      </c>
    </row>
    <row r="8" spans="1:12" x14ac:dyDescent="0.3">
      <c r="A8">
        <v>7</v>
      </c>
      <c r="B8" t="s">
        <v>18</v>
      </c>
      <c r="C8" t="s">
        <v>4</v>
      </c>
      <c r="D8">
        <v>1756</v>
      </c>
      <c r="E8">
        <f t="shared" si="1"/>
        <v>1</v>
      </c>
      <c r="F8" s="2" t="str">
        <f t="shared" si="0"/>
        <v/>
      </c>
      <c r="G8" s="2">
        <f>IF(E8=1,SUM(F$3:$F7),"")</f>
        <v>0</v>
      </c>
      <c r="I8" t="s">
        <v>16</v>
      </c>
      <c r="K8" t="s">
        <v>132</v>
      </c>
      <c r="L8" s="2">
        <f>SUMIF(C:C,"AFC",G:G)/COUNTIFS(C:C,"AFC",E:E,1)*100</f>
        <v>33.621793354932983</v>
      </c>
    </row>
    <row r="9" spans="1:12" x14ac:dyDescent="0.3">
      <c r="A9">
        <v>8</v>
      </c>
      <c r="B9" t="s">
        <v>36</v>
      </c>
      <c r="C9" t="s">
        <v>4</v>
      </c>
      <c r="D9">
        <v>1731</v>
      </c>
      <c r="E9">
        <f t="shared" si="1"/>
        <v>1</v>
      </c>
      <c r="F9" s="2" t="str">
        <f t="shared" si="0"/>
        <v/>
      </c>
      <c r="G9" s="2">
        <f>IF(E9=1,SUM(F$3:$F8),"")</f>
        <v>0</v>
      </c>
      <c r="I9" t="s">
        <v>102</v>
      </c>
    </row>
    <row r="10" spans="1:12" x14ac:dyDescent="0.3">
      <c r="A10">
        <v>9</v>
      </c>
      <c r="B10" t="s">
        <v>17</v>
      </c>
      <c r="C10" t="s">
        <v>4</v>
      </c>
      <c r="D10">
        <v>1724</v>
      </c>
      <c r="E10">
        <f t="shared" si="1"/>
        <v>1</v>
      </c>
      <c r="F10" s="2" t="str">
        <f t="shared" si="0"/>
        <v/>
      </c>
      <c r="G10" s="2">
        <f>IF(E10=1,SUM(F$3:$F9),"")</f>
        <v>0</v>
      </c>
      <c r="I10" t="s">
        <v>45</v>
      </c>
    </row>
    <row r="11" spans="1:12" x14ac:dyDescent="0.3">
      <c r="A11">
        <v>10</v>
      </c>
      <c r="B11" t="s">
        <v>88</v>
      </c>
      <c r="C11" t="s">
        <v>4</v>
      </c>
      <c r="D11">
        <v>1717</v>
      </c>
      <c r="E11">
        <f t="shared" si="1"/>
        <v>1</v>
      </c>
      <c r="F11" s="2" t="str">
        <f t="shared" si="0"/>
        <v/>
      </c>
      <c r="G11" s="2">
        <f>IF(E11=1,SUM(F$3:$F10),"")</f>
        <v>0</v>
      </c>
      <c r="I11" t="s">
        <v>115</v>
      </c>
    </row>
    <row r="12" spans="1:12" x14ac:dyDescent="0.3">
      <c r="A12">
        <v>11</v>
      </c>
      <c r="B12" t="s">
        <v>37</v>
      </c>
      <c r="C12" t="s">
        <v>6</v>
      </c>
      <c r="D12">
        <v>1713</v>
      </c>
      <c r="E12">
        <f t="shared" si="1"/>
        <v>1</v>
      </c>
      <c r="F12" s="2" t="str">
        <f t="shared" si="0"/>
        <v/>
      </c>
      <c r="G12" s="2">
        <f>IF(E12=1,SUM(F$3:$F11),"")</f>
        <v>0</v>
      </c>
      <c r="I12" t="s">
        <v>52</v>
      </c>
    </row>
    <row r="13" spans="1:12" x14ac:dyDescent="0.3">
      <c r="A13">
        <v>12</v>
      </c>
      <c r="B13" t="s">
        <v>20</v>
      </c>
      <c r="C13" t="s">
        <v>4</v>
      </c>
      <c r="D13">
        <v>1702</v>
      </c>
      <c r="E13">
        <f t="shared" si="1"/>
        <v>0</v>
      </c>
      <c r="F13" s="2">
        <f t="shared" si="0"/>
        <v>8.3333333333333329E-2</v>
      </c>
      <c r="G13" s="2" t="str">
        <f>IF(E13=1,SUM(F$3:$F12),"")</f>
        <v/>
      </c>
      <c r="I13" t="s">
        <v>19</v>
      </c>
    </row>
    <row r="14" spans="1:12" x14ac:dyDescent="0.3">
      <c r="A14">
        <v>13</v>
      </c>
      <c r="B14" t="s">
        <v>11</v>
      </c>
      <c r="C14" t="s">
        <v>5</v>
      </c>
      <c r="D14">
        <v>1701</v>
      </c>
      <c r="E14">
        <f t="shared" si="1"/>
        <v>1</v>
      </c>
      <c r="F14" s="2" t="str">
        <f t="shared" si="0"/>
        <v/>
      </c>
      <c r="G14" s="2">
        <f>IF(E14=1,SUM(F$3:$F13),"")</f>
        <v>8.3333333333333329E-2</v>
      </c>
      <c r="I14" t="s">
        <v>47</v>
      </c>
    </row>
    <row r="15" spans="1:12" x14ac:dyDescent="0.3">
      <c r="A15">
        <v>14</v>
      </c>
      <c r="B15" t="s">
        <v>79</v>
      </c>
      <c r="C15" t="s">
        <v>7</v>
      </c>
      <c r="D15">
        <v>1682</v>
      </c>
      <c r="E15">
        <f t="shared" si="1"/>
        <v>1</v>
      </c>
      <c r="F15" s="2" t="str">
        <f t="shared" si="0"/>
        <v/>
      </c>
      <c r="G15" s="2">
        <f>IF(E15=1,SUM(F$3:$F14),"")</f>
        <v>8.3333333333333329E-2</v>
      </c>
      <c r="I15" t="s">
        <v>29</v>
      </c>
    </row>
    <row r="16" spans="1:12" x14ac:dyDescent="0.3">
      <c r="A16">
        <v>15</v>
      </c>
      <c r="B16" t="s">
        <v>28</v>
      </c>
      <c r="C16" t="s">
        <v>7</v>
      </c>
      <c r="D16">
        <v>1676</v>
      </c>
      <c r="E16">
        <f t="shared" si="1"/>
        <v>1</v>
      </c>
      <c r="F16" s="2" t="str">
        <f t="shared" si="0"/>
        <v/>
      </c>
      <c r="G16" s="2">
        <f>IF(E16=1,SUM(F$3:$F15),"")</f>
        <v>8.3333333333333329E-2</v>
      </c>
      <c r="I16" t="s">
        <v>11</v>
      </c>
    </row>
    <row r="17" spans="1:9" x14ac:dyDescent="0.3">
      <c r="A17">
        <v>16</v>
      </c>
      <c r="B17" t="s">
        <v>29</v>
      </c>
      <c r="C17" t="s">
        <v>5</v>
      </c>
      <c r="D17">
        <v>1673</v>
      </c>
      <c r="E17">
        <f t="shared" si="1"/>
        <v>1</v>
      </c>
      <c r="F17" s="2" t="str">
        <f t="shared" si="0"/>
        <v/>
      </c>
      <c r="G17" s="2">
        <f>IF(E17=1,SUM(F$3:$F16),"")</f>
        <v>8.3333333333333329E-2</v>
      </c>
      <c r="I17" t="s">
        <v>64</v>
      </c>
    </row>
    <row r="18" spans="1:9" x14ac:dyDescent="0.3">
      <c r="A18">
        <v>17</v>
      </c>
      <c r="B18" t="s">
        <v>25</v>
      </c>
      <c r="C18" t="s">
        <v>4</v>
      </c>
      <c r="D18">
        <v>1655</v>
      </c>
      <c r="E18">
        <f t="shared" si="1"/>
        <v>1</v>
      </c>
      <c r="F18" s="2" t="str">
        <f t="shared" si="0"/>
        <v/>
      </c>
      <c r="G18" s="2">
        <f>IF(E18=1,SUM(F$3:$F17),"")</f>
        <v>8.3333333333333329E-2</v>
      </c>
      <c r="I18" t="s">
        <v>37</v>
      </c>
    </row>
    <row r="19" spans="1:9" x14ac:dyDescent="0.3">
      <c r="A19">
        <v>18</v>
      </c>
      <c r="B19" t="s">
        <v>57</v>
      </c>
      <c r="C19" t="s">
        <v>9</v>
      </c>
      <c r="D19">
        <v>1650</v>
      </c>
      <c r="E19">
        <f t="shared" si="1"/>
        <v>1</v>
      </c>
      <c r="F19" s="2" t="str">
        <f t="shared" si="0"/>
        <v/>
      </c>
      <c r="G19" s="2">
        <f>IF(E19=1,SUM(F$3:$F18),"")</f>
        <v>8.3333333333333329E-2</v>
      </c>
      <c r="I19" t="s">
        <v>38</v>
      </c>
    </row>
    <row r="20" spans="1:9" x14ac:dyDescent="0.3">
      <c r="A20">
        <v>19</v>
      </c>
      <c r="B20" t="s">
        <v>60</v>
      </c>
      <c r="C20" t="s">
        <v>6</v>
      </c>
      <c r="D20">
        <v>1648</v>
      </c>
      <c r="E20">
        <f t="shared" si="1"/>
        <v>1</v>
      </c>
      <c r="F20" s="2" t="str">
        <f t="shared" si="0"/>
        <v/>
      </c>
      <c r="G20" s="2">
        <f>IF(E20=1,SUM(F$3:$F19),"")</f>
        <v>8.3333333333333329E-2</v>
      </c>
      <c r="I20" t="s">
        <v>34</v>
      </c>
    </row>
    <row r="21" spans="1:9" x14ac:dyDescent="0.3">
      <c r="A21">
        <v>20</v>
      </c>
      <c r="B21" t="s">
        <v>62</v>
      </c>
      <c r="C21" t="s">
        <v>9</v>
      </c>
      <c r="D21">
        <v>1617</v>
      </c>
      <c r="E21">
        <f t="shared" si="1"/>
        <v>1</v>
      </c>
      <c r="F21" s="2" t="str">
        <f t="shared" si="0"/>
        <v/>
      </c>
      <c r="G21" s="2">
        <f>IF(E21=1,SUM(F$3:$F20),"")</f>
        <v>8.3333333333333329E-2</v>
      </c>
      <c r="I21" t="s">
        <v>53</v>
      </c>
    </row>
    <row r="22" spans="1:9" x14ac:dyDescent="0.3">
      <c r="A22">
        <v>21</v>
      </c>
      <c r="B22" t="s">
        <v>23</v>
      </c>
      <c r="C22" t="s">
        <v>4</v>
      </c>
      <c r="D22">
        <v>1617</v>
      </c>
      <c r="E22">
        <f t="shared" si="1"/>
        <v>0</v>
      </c>
      <c r="F22" s="2">
        <f t="shared" si="0"/>
        <v>4.7619047619047616E-2</v>
      </c>
      <c r="G22" s="2" t="str">
        <f>IF(E22=1,SUM(F$3:$F21),"")</f>
        <v/>
      </c>
      <c r="I22" t="s">
        <v>35</v>
      </c>
    </row>
    <row r="23" spans="1:9" x14ac:dyDescent="0.3">
      <c r="A23">
        <v>22</v>
      </c>
      <c r="B23" t="s">
        <v>45</v>
      </c>
      <c r="C23" t="s">
        <v>9</v>
      </c>
      <c r="D23">
        <v>1599</v>
      </c>
      <c r="E23">
        <f t="shared" si="1"/>
        <v>1</v>
      </c>
      <c r="F23" s="2" t="str">
        <f t="shared" si="0"/>
        <v/>
      </c>
      <c r="G23" s="2">
        <f>IF(E23=1,SUM(F$3:$F22),"")</f>
        <v>0.13095238095238093</v>
      </c>
      <c r="I23" t="s">
        <v>114</v>
      </c>
    </row>
    <row r="24" spans="1:9" x14ac:dyDescent="0.3">
      <c r="A24">
        <v>23</v>
      </c>
      <c r="B24" t="s">
        <v>47</v>
      </c>
      <c r="C24" t="s">
        <v>5</v>
      </c>
      <c r="D24">
        <v>1592</v>
      </c>
      <c r="E24">
        <f t="shared" si="1"/>
        <v>1</v>
      </c>
      <c r="F24" s="2" t="str">
        <f t="shared" si="0"/>
        <v/>
      </c>
      <c r="G24" s="2">
        <f>IF(E24=1,SUM(F$3:$F23),"")</f>
        <v>0.13095238095238093</v>
      </c>
      <c r="I24" t="s">
        <v>89</v>
      </c>
    </row>
    <row r="25" spans="1:9" x14ac:dyDescent="0.3">
      <c r="A25">
        <v>24</v>
      </c>
      <c r="B25" t="s">
        <v>44</v>
      </c>
      <c r="C25" t="s">
        <v>4</v>
      </c>
      <c r="D25">
        <v>1586</v>
      </c>
      <c r="E25">
        <f t="shared" si="1"/>
        <v>1</v>
      </c>
      <c r="F25" s="2" t="str">
        <f t="shared" si="0"/>
        <v/>
      </c>
      <c r="G25" s="2">
        <f>IF(E25=1,SUM(F$3:$F24),"")</f>
        <v>0.13095238095238093</v>
      </c>
      <c r="I25" t="s">
        <v>72</v>
      </c>
    </row>
    <row r="26" spans="1:9" x14ac:dyDescent="0.3">
      <c r="A26">
        <v>25</v>
      </c>
      <c r="B26" t="s">
        <v>129</v>
      </c>
      <c r="C26" t="s">
        <v>4</v>
      </c>
      <c r="D26">
        <v>1583</v>
      </c>
      <c r="E26">
        <f t="shared" si="1"/>
        <v>1</v>
      </c>
      <c r="F26" s="2" t="str">
        <f t="shared" si="0"/>
        <v/>
      </c>
      <c r="G26" s="2">
        <f>IF(E26=1,SUM(F$3:$F25),"")</f>
        <v>0.13095238095238093</v>
      </c>
      <c r="I26" t="s">
        <v>27</v>
      </c>
    </row>
    <row r="27" spans="1:9" x14ac:dyDescent="0.3">
      <c r="A27">
        <v>26</v>
      </c>
      <c r="B27" t="s">
        <v>52</v>
      </c>
      <c r="C27" t="s">
        <v>9</v>
      </c>
      <c r="D27">
        <v>1574</v>
      </c>
      <c r="E27">
        <f t="shared" si="1"/>
        <v>1</v>
      </c>
      <c r="F27" s="2" t="str">
        <f t="shared" si="0"/>
        <v/>
      </c>
      <c r="G27" s="2">
        <f>IF(E27=1,SUM(F$3:$F26),"")</f>
        <v>0.13095238095238093</v>
      </c>
      <c r="I27" t="s">
        <v>42</v>
      </c>
    </row>
    <row r="28" spans="1:9" x14ac:dyDescent="0.3">
      <c r="A28">
        <v>27</v>
      </c>
      <c r="B28" t="s">
        <v>59</v>
      </c>
      <c r="C28" t="s">
        <v>7</v>
      </c>
      <c r="D28">
        <v>1559</v>
      </c>
      <c r="E28">
        <f t="shared" si="1"/>
        <v>1</v>
      </c>
      <c r="F28" s="2" t="str">
        <f t="shared" si="0"/>
        <v/>
      </c>
      <c r="G28" s="2">
        <f>IF(E28=1,SUM(F$3:$F27),"")</f>
        <v>0.13095238095238093</v>
      </c>
      <c r="I28" t="s">
        <v>31</v>
      </c>
    </row>
    <row r="29" spans="1:9" x14ac:dyDescent="0.3">
      <c r="A29">
        <v>28</v>
      </c>
      <c r="B29" t="s">
        <v>94</v>
      </c>
      <c r="C29" t="s">
        <v>4</v>
      </c>
      <c r="D29">
        <v>1557</v>
      </c>
      <c r="E29">
        <f t="shared" si="1"/>
        <v>0</v>
      </c>
      <c r="F29" s="2">
        <f t="shared" si="0"/>
        <v>3.5714285714285712E-2</v>
      </c>
      <c r="G29" s="2" t="str">
        <f>IF(E29=1,SUM(F$3:$F28),"")</f>
        <v/>
      </c>
      <c r="I29" t="s">
        <v>60</v>
      </c>
    </row>
    <row r="30" spans="1:9" x14ac:dyDescent="0.3">
      <c r="A30">
        <v>29</v>
      </c>
      <c r="B30" t="s">
        <v>22</v>
      </c>
      <c r="C30" t="s">
        <v>4</v>
      </c>
      <c r="D30">
        <v>1553</v>
      </c>
      <c r="E30">
        <f t="shared" si="1"/>
        <v>1</v>
      </c>
      <c r="F30" s="2" t="str">
        <f t="shared" si="0"/>
        <v/>
      </c>
      <c r="G30" s="2">
        <f>IF(E30=1,SUM(F$3:$F29),"")</f>
        <v>0.16666666666666663</v>
      </c>
      <c r="I30" t="s">
        <v>26</v>
      </c>
    </row>
    <row r="31" spans="1:9" x14ac:dyDescent="0.3">
      <c r="A31">
        <v>30</v>
      </c>
      <c r="B31" t="s">
        <v>112</v>
      </c>
      <c r="C31" t="s">
        <v>7</v>
      </c>
      <c r="D31">
        <v>1540</v>
      </c>
      <c r="E31">
        <f t="shared" si="1"/>
        <v>1</v>
      </c>
      <c r="F31" s="2" t="str">
        <f t="shared" si="0"/>
        <v/>
      </c>
      <c r="G31" s="2">
        <f>IF(E31=1,SUM(F$3:$F30),"")</f>
        <v>0.16666666666666663</v>
      </c>
      <c r="I31" t="s">
        <v>88</v>
      </c>
    </row>
    <row r="32" spans="1:9" x14ac:dyDescent="0.3">
      <c r="A32">
        <v>31</v>
      </c>
      <c r="B32" t="s">
        <v>40</v>
      </c>
      <c r="C32" t="s">
        <v>4</v>
      </c>
      <c r="D32">
        <v>1532</v>
      </c>
      <c r="E32">
        <f t="shared" si="1"/>
        <v>0</v>
      </c>
      <c r="F32" s="2">
        <f t="shared" si="0"/>
        <v>3.2258064516129031E-2</v>
      </c>
      <c r="G32" s="2" t="str">
        <f>IF(E32=1,SUM(F$3:$F31),"")</f>
        <v/>
      </c>
      <c r="I32" t="s">
        <v>32</v>
      </c>
    </row>
    <row r="33" spans="1:9" x14ac:dyDescent="0.3">
      <c r="A33">
        <v>32</v>
      </c>
      <c r="B33" t="s">
        <v>43</v>
      </c>
      <c r="C33" t="s">
        <v>4</v>
      </c>
      <c r="D33">
        <v>1530</v>
      </c>
      <c r="E33">
        <f t="shared" si="1"/>
        <v>0</v>
      </c>
      <c r="F33" s="2">
        <f t="shared" si="0"/>
        <v>3.125E-2</v>
      </c>
      <c r="G33" s="2" t="str">
        <f>IF(E33=1,SUM(F$3:$F32),"")</f>
        <v/>
      </c>
      <c r="I33" t="s">
        <v>22</v>
      </c>
    </row>
    <row r="34" spans="1:9" x14ac:dyDescent="0.3">
      <c r="A34">
        <v>33</v>
      </c>
      <c r="B34" t="s">
        <v>10</v>
      </c>
      <c r="C34" t="s">
        <v>4</v>
      </c>
      <c r="D34">
        <v>1525</v>
      </c>
      <c r="E34">
        <f t="shared" si="1"/>
        <v>0</v>
      </c>
      <c r="F34" s="2">
        <f t="shared" ref="F34:F65" si="2">IF(E34=1,"",1/A34)</f>
        <v>3.0303030303030304E-2</v>
      </c>
      <c r="G34" s="2" t="str">
        <f>IF(E34=1,SUM(F$3:$F33),"")</f>
        <v/>
      </c>
      <c r="I34" t="s">
        <v>17</v>
      </c>
    </row>
    <row r="35" spans="1:9" x14ac:dyDescent="0.3">
      <c r="A35">
        <v>34</v>
      </c>
      <c r="B35" t="s">
        <v>34</v>
      </c>
      <c r="C35" t="s">
        <v>6</v>
      </c>
      <c r="D35">
        <v>1521</v>
      </c>
      <c r="E35">
        <f t="shared" si="1"/>
        <v>1</v>
      </c>
      <c r="F35" s="2" t="str">
        <f t="shared" si="2"/>
        <v/>
      </c>
      <c r="G35" s="2">
        <f>IF(E35=1,SUM(F$3:$F34),"")</f>
        <v>0.26047776148582596</v>
      </c>
      <c r="I35" t="s">
        <v>18</v>
      </c>
    </row>
    <row r="36" spans="1:9" x14ac:dyDescent="0.3">
      <c r="A36">
        <v>35</v>
      </c>
      <c r="B36" t="s">
        <v>53</v>
      </c>
      <c r="C36" t="s">
        <v>6</v>
      </c>
      <c r="D36">
        <v>1516</v>
      </c>
      <c r="E36">
        <f t="shared" si="1"/>
        <v>1</v>
      </c>
      <c r="F36" s="2" t="str">
        <f t="shared" si="2"/>
        <v/>
      </c>
      <c r="G36" s="2">
        <f>IF(E36=1,SUM(F$3:$F35),"")</f>
        <v>0.26047776148582596</v>
      </c>
      <c r="I36" t="s">
        <v>36</v>
      </c>
    </row>
    <row r="37" spans="1:9" x14ac:dyDescent="0.3">
      <c r="A37">
        <v>36</v>
      </c>
      <c r="B37" t="s">
        <v>41</v>
      </c>
      <c r="C37" t="s">
        <v>4</v>
      </c>
      <c r="D37">
        <v>1507</v>
      </c>
      <c r="E37">
        <f t="shared" si="1"/>
        <v>1</v>
      </c>
      <c r="F37" s="2" t="str">
        <f t="shared" si="2"/>
        <v/>
      </c>
      <c r="G37" s="2">
        <f>IF(E37=1,SUM(F$3:$F36),"")</f>
        <v>0.26047776148582596</v>
      </c>
      <c r="I37" t="s">
        <v>44</v>
      </c>
    </row>
    <row r="38" spans="1:9" x14ac:dyDescent="0.3">
      <c r="A38">
        <v>37</v>
      </c>
      <c r="B38" t="s">
        <v>108</v>
      </c>
      <c r="C38" t="s">
        <v>4</v>
      </c>
      <c r="D38">
        <v>1506</v>
      </c>
      <c r="E38">
        <f t="shared" si="1"/>
        <v>0</v>
      </c>
      <c r="F38" s="2">
        <f t="shared" si="2"/>
        <v>2.7027027027027029E-2</v>
      </c>
      <c r="G38" s="2" t="str">
        <f>IF(E38=1,SUM(F$3:$F37),"")</f>
        <v/>
      </c>
      <c r="I38" t="s">
        <v>25</v>
      </c>
    </row>
    <row r="39" spans="1:9" x14ac:dyDescent="0.3">
      <c r="A39">
        <v>38</v>
      </c>
      <c r="B39" t="s">
        <v>13</v>
      </c>
      <c r="C39" t="s">
        <v>6</v>
      </c>
      <c r="D39">
        <v>1502</v>
      </c>
      <c r="E39">
        <f t="shared" si="1"/>
        <v>0</v>
      </c>
      <c r="F39" s="2">
        <f t="shared" si="2"/>
        <v>2.6315789473684209E-2</v>
      </c>
      <c r="G39" s="2" t="str">
        <f>IF(E39=1,SUM(F$3:$F38),"")</f>
        <v/>
      </c>
      <c r="I39" t="s">
        <v>21</v>
      </c>
    </row>
    <row r="40" spans="1:9" x14ac:dyDescent="0.3">
      <c r="A40">
        <v>39</v>
      </c>
      <c r="B40" t="s">
        <v>64</v>
      </c>
      <c r="C40" t="s">
        <v>5</v>
      </c>
      <c r="D40">
        <v>1502</v>
      </c>
      <c r="E40">
        <f t="shared" si="1"/>
        <v>1</v>
      </c>
      <c r="F40" s="2" t="str">
        <f t="shared" si="2"/>
        <v/>
      </c>
      <c r="G40" s="2">
        <f>IF(E40=1,SUM(F$3:$F39),"")</f>
        <v>0.31382057798653717</v>
      </c>
      <c r="I40" t="s">
        <v>41</v>
      </c>
    </row>
    <row r="41" spans="1:9" x14ac:dyDescent="0.3">
      <c r="A41">
        <v>40</v>
      </c>
      <c r="B41" t="s">
        <v>38</v>
      </c>
      <c r="C41" t="s">
        <v>6</v>
      </c>
      <c r="D41">
        <v>1497</v>
      </c>
      <c r="E41">
        <f t="shared" si="1"/>
        <v>1</v>
      </c>
      <c r="F41" s="2" t="str">
        <f t="shared" si="2"/>
        <v/>
      </c>
      <c r="G41" s="2">
        <f>IF(E41=1,SUM(F$3:$F40),"")</f>
        <v>0.31382057798653717</v>
      </c>
      <c r="I41" t="s">
        <v>112</v>
      </c>
    </row>
    <row r="42" spans="1:9" x14ac:dyDescent="0.3">
      <c r="A42">
        <v>41</v>
      </c>
      <c r="B42" t="s">
        <v>61</v>
      </c>
      <c r="C42" t="s">
        <v>4</v>
      </c>
      <c r="D42">
        <v>1496</v>
      </c>
      <c r="E42">
        <f t="shared" si="1"/>
        <v>0</v>
      </c>
      <c r="F42" s="2">
        <f t="shared" si="2"/>
        <v>2.4390243902439025E-2</v>
      </c>
      <c r="G42" s="2" t="str">
        <f>IF(E42=1,SUM(F$3:$F41),"")</f>
        <v/>
      </c>
      <c r="I42" t="s">
        <v>118</v>
      </c>
    </row>
    <row r="43" spans="1:9" x14ac:dyDescent="0.3">
      <c r="A43">
        <v>42</v>
      </c>
      <c r="B43" t="s">
        <v>31</v>
      </c>
      <c r="C43" t="s">
        <v>6</v>
      </c>
      <c r="D43">
        <v>1490</v>
      </c>
      <c r="E43">
        <f t="shared" si="1"/>
        <v>1</v>
      </c>
      <c r="F43" s="2" t="str">
        <f t="shared" si="2"/>
        <v/>
      </c>
      <c r="G43" s="2">
        <f>IF(E43=1,SUM(F$3:$F42),"")</f>
        <v>0.33821082188897622</v>
      </c>
      <c r="I43" t="s">
        <v>144</v>
      </c>
    </row>
    <row r="44" spans="1:9" x14ac:dyDescent="0.3">
      <c r="A44">
        <v>43</v>
      </c>
      <c r="B44" t="s">
        <v>24</v>
      </c>
      <c r="C44" t="s">
        <v>4</v>
      </c>
      <c r="D44">
        <v>1487</v>
      </c>
      <c r="E44">
        <f t="shared" si="1"/>
        <v>1</v>
      </c>
      <c r="F44" s="2" t="str">
        <f t="shared" si="2"/>
        <v/>
      </c>
      <c r="G44" s="2">
        <f>IF(E44=1,SUM(F$3:$F43),"")</f>
        <v>0.33821082188897622</v>
      </c>
      <c r="I44" t="s">
        <v>68</v>
      </c>
    </row>
    <row r="45" spans="1:9" x14ac:dyDescent="0.3">
      <c r="A45">
        <v>44</v>
      </c>
      <c r="B45" t="s">
        <v>81</v>
      </c>
      <c r="C45" t="s">
        <v>4</v>
      </c>
      <c r="D45">
        <v>1487</v>
      </c>
      <c r="E45">
        <f t="shared" si="1"/>
        <v>1</v>
      </c>
      <c r="F45" s="2" t="str">
        <f t="shared" si="2"/>
        <v/>
      </c>
      <c r="G45" s="2">
        <f>IF(E45=1,SUM(F$3:$F44),"")</f>
        <v>0.33821082188897622</v>
      </c>
      <c r="I45" t="s">
        <v>123</v>
      </c>
    </row>
    <row r="46" spans="1:9" x14ac:dyDescent="0.3">
      <c r="A46">
        <v>45</v>
      </c>
      <c r="B46" t="s">
        <v>50</v>
      </c>
      <c r="C46" t="s">
        <v>4</v>
      </c>
      <c r="D46">
        <v>1486</v>
      </c>
      <c r="E46">
        <f t="shared" si="1"/>
        <v>0</v>
      </c>
      <c r="F46" s="2">
        <f t="shared" si="2"/>
        <v>2.2222222222222223E-2</v>
      </c>
      <c r="G46" s="2" t="str">
        <f>IF(E46=1,SUM(F$3:$F45),"")</f>
        <v/>
      </c>
      <c r="I46" t="s">
        <v>127</v>
      </c>
    </row>
    <row r="47" spans="1:9" x14ac:dyDescent="0.3">
      <c r="A47">
        <v>46</v>
      </c>
      <c r="B47" t="s">
        <v>39</v>
      </c>
      <c r="C47" t="s">
        <v>4</v>
      </c>
      <c r="D47">
        <v>1480</v>
      </c>
      <c r="E47">
        <f t="shared" si="1"/>
        <v>0</v>
      </c>
      <c r="F47" s="2">
        <f t="shared" si="2"/>
        <v>2.1739130434782608E-2</v>
      </c>
      <c r="G47" s="2" t="str">
        <f>IF(E47=1,SUM(F$3:$F46),"")</f>
        <v/>
      </c>
      <c r="I47" t="s">
        <v>81</v>
      </c>
    </row>
    <row r="48" spans="1:9" x14ac:dyDescent="0.3">
      <c r="A48">
        <v>47</v>
      </c>
      <c r="B48" t="s">
        <v>14</v>
      </c>
      <c r="C48" t="s">
        <v>4</v>
      </c>
      <c r="D48">
        <v>1466</v>
      </c>
      <c r="E48">
        <f t="shared" si="1"/>
        <v>0</v>
      </c>
      <c r="F48" s="2">
        <f t="shared" si="2"/>
        <v>2.1276595744680851E-2</v>
      </c>
      <c r="G48" s="2" t="str">
        <f>IF(E48=1,SUM(F$3:$F47),"")</f>
        <v/>
      </c>
      <c r="I48" t="s">
        <v>24</v>
      </c>
    </row>
    <row r="49" spans="1:9" x14ac:dyDescent="0.3">
      <c r="A49">
        <v>48</v>
      </c>
      <c r="B49" t="s">
        <v>107</v>
      </c>
      <c r="C49" t="s">
        <v>5</v>
      </c>
      <c r="D49">
        <v>1465</v>
      </c>
      <c r="E49">
        <f t="shared" si="1"/>
        <v>0</v>
      </c>
      <c r="F49" s="2">
        <f t="shared" si="2"/>
        <v>2.0833333333333332E-2</v>
      </c>
      <c r="G49" s="2" t="str">
        <f>IF(E49=1,SUM(F$3:$F48),"")</f>
        <v/>
      </c>
      <c r="I49" t="s">
        <v>129</v>
      </c>
    </row>
    <row r="50" spans="1:9" x14ac:dyDescent="0.3">
      <c r="A50">
        <v>49</v>
      </c>
      <c r="B50" t="s">
        <v>56</v>
      </c>
      <c r="C50" t="s">
        <v>7</v>
      </c>
      <c r="D50">
        <v>1464</v>
      </c>
      <c r="E50">
        <f t="shared" si="1"/>
        <v>0</v>
      </c>
      <c r="F50" s="2">
        <f t="shared" si="2"/>
        <v>2.0408163265306121E-2</v>
      </c>
      <c r="G50" s="2" t="str">
        <f>IF(E50=1,SUM(F$3:$F49),"")</f>
        <v/>
      </c>
    </row>
    <row r="51" spans="1:9" x14ac:dyDescent="0.3">
      <c r="A51">
        <v>50</v>
      </c>
      <c r="B51" t="s">
        <v>102</v>
      </c>
      <c r="C51" t="s">
        <v>9</v>
      </c>
      <c r="D51">
        <v>1462</v>
      </c>
      <c r="E51">
        <f t="shared" si="1"/>
        <v>1</v>
      </c>
      <c r="F51" s="2" t="str">
        <f t="shared" si="2"/>
        <v/>
      </c>
      <c r="G51" s="2">
        <f>IF(E51=1,SUM(F$3:$F50),"")</f>
        <v>0.4446902668893013</v>
      </c>
    </row>
    <row r="52" spans="1:9" x14ac:dyDescent="0.3">
      <c r="A52">
        <v>51</v>
      </c>
      <c r="B52" t="s">
        <v>72</v>
      </c>
      <c r="C52" t="s">
        <v>9</v>
      </c>
      <c r="D52">
        <v>1462</v>
      </c>
      <c r="E52">
        <f t="shared" si="1"/>
        <v>1</v>
      </c>
      <c r="F52" s="2" t="str">
        <f t="shared" si="2"/>
        <v/>
      </c>
      <c r="G52" s="2">
        <f>IF(E52=1,SUM(F$3:$F51),"")</f>
        <v>0.4446902668893013</v>
      </c>
    </row>
    <row r="53" spans="1:9" x14ac:dyDescent="0.3">
      <c r="A53">
        <v>52</v>
      </c>
      <c r="B53" t="s">
        <v>70</v>
      </c>
      <c r="C53" t="s">
        <v>5</v>
      </c>
      <c r="D53">
        <v>1460</v>
      </c>
      <c r="E53">
        <f t="shared" si="1"/>
        <v>0</v>
      </c>
      <c r="F53" s="2">
        <f t="shared" si="2"/>
        <v>1.9230769230769232E-2</v>
      </c>
      <c r="G53" s="2" t="str">
        <f>IF(E53=1,SUM(F$3:$F52),"")</f>
        <v/>
      </c>
    </row>
    <row r="54" spans="1:9" x14ac:dyDescent="0.3">
      <c r="A54">
        <v>53</v>
      </c>
      <c r="B54" t="s">
        <v>48</v>
      </c>
      <c r="C54" t="s">
        <v>5</v>
      </c>
      <c r="D54">
        <v>1458</v>
      </c>
      <c r="E54">
        <f t="shared" si="1"/>
        <v>0</v>
      </c>
      <c r="F54" s="2">
        <f t="shared" si="2"/>
        <v>1.8867924528301886E-2</v>
      </c>
      <c r="G54" s="2" t="str">
        <f>IF(E54=1,SUM(F$3:$F53),"")</f>
        <v/>
      </c>
    </row>
    <row r="55" spans="1:9" x14ac:dyDescent="0.3">
      <c r="A55">
        <v>54</v>
      </c>
      <c r="B55" t="s">
        <v>54</v>
      </c>
      <c r="C55" t="s">
        <v>6</v>
      </c>
      <c r="D55">
        <v>1455</v>
      </c>
      <c r="E55">
        <f t="shared" si="1"/>
        <v>0</v>
      </c>
      <c r="F55" s="2">
        <f t="shared" si="2"/>
        <v>1.8518518518518517E-2</v>
      </c>
      <c r="G55" s="2" t="str">
        <f>IF(E55=1,SUM(F$3:$F54),"")</f>
        <v/>
      </c>
    </row>
    <row r="56" spans="1:9" x14ac:dyDescent="0.3">
      <c r="A56">
        <v>55</v>
      </c>
      <c r="B56" t="s">
        <v>101</v>
      </c>
      <c r="C56" t="s">
        <v>4</v>
      </c>
      <c r="D56">
        <v>1447</v>
      </c>
      <c r="E56">
        <f t="shared" si="1"/>
        <v>0</v>
      </c>
      <c r="F56" s="2">
        <f t="shared" si="2"/>
        <v>1.8181818181818181E-2</v>
      </c>
      <c r="G56" s="2" t="str">
        <f>IF(E56=1,SUM(F$3:$F55),"")</f>
        <v/>
      </c>
    </row>
    <row r="57" spans="1:9" x14ac:dyDescent="0.3">
      <c r="A57">
        <v>56</v>
      </c>
      <c r="B57" t="s">
        <v>123</v>
      </c>
      <c r="C57" t="s">
        <v>6</v>
      </c>
      <c r="D57">
        <v>1442</v>
      </c>
      <c r="E57">
        <f t="shared" si="1"/>
        <v>1</v>
      </c>
      <c r="F57" s="2" t="str">
        <f t="shared" si="2"/>
        <v/>
      </c>
      <c r="G57" s="2">
        <f>IF(E57=1,SUM(F$3:$F56),"")</f>
        <v>0.51948929734870908</v>
      </c>
    </row>
    <row r="58" spans="1:9" x14ac:dyDescent="0.3">
      <c r="A58">
        <v>57</v>
      </c>
      <c r="B58" t="s">
        <v>33</v>
      </c>
      <c r="C58" t="s">
        <v>6</v>
      </c>
      <c r="D58">
        <v>1440</v>
      </c>
      <c r="E58">
        <f t="shared" si="1"/>
        <v>0</v>
      </c>
      <c r="F58" s="2">
        <f t="shared" si="2"/>
        <v>1.7543859649122806E-2</v>
      </c>
      <c r="G58" s="2" t="str">
        <f>IF(E58=1,SUM(F$3:$F57),"")</f>
        <v/>
      </c>
    </row>
    <row r="59" spans="1:9" x14ac:dyDescent="0.3">
      <c r="A59">
        <v>58</v>
      </c>
      <c r="B59" t="s">
        <v>68</v>
      </c>
      <c r="C59" t="s">
        <v>9</v>
      </c>
      <c r="D59">
        <v>1439</v>
      </c>
      <c r="E59">
        <f t="shared" si="1"/>
        <v>1</v>
      </c>
      <c r="F59" s="2" t="str">
        <f t="shared" si="2"/>
        <v/>
      </c>
      <c r="G59" s="2">
        <f>IF(E59=1,SUM(F$3:$F58),"")</f>
        <v>0.53703315699783194</v>
      </c>
    </row>
    <row r="60" spans="1:9" x14ac:dyDescent="0.3">
      <c r="A60">
        <v>59</v>
      </c>
      <c r="B60" t="s">
        <v>143</v>
      </c>
      <c r="C60" t="s">
        <v>4</v>
      </c>
      <c r="D60">
        <v>1436</v>
      </c>
      <c r="E60">
        <f t="shared" si="1"/>
        <v>0</v>
      </c>
      <c r="F60" s="2">
        <f t="shared" si="2"/>
        <v>1.6949152542372881E-2</v>
      </c>
      <c r="G60" s="2" t="str">
        <f>IF(E60=1,SUM(F$3:$F59),"")</f>
        <v/>
      </c>
    </row>
    <row r="61" spans="1:9" x14ac:dyDescent="0.3">
      <c r="A61">
        <v>60</v>
      </c>
      <c r="B61" t="s">
        <v>42</v>
      </c>
      <c r="C61" t="s">
        <v>9</v>
      </c>
      <c r="D61">
        <v>1429</v>
      </c>
      <c r="E61">
        <f t="shared" si="1"/>
        <v>1</v>
      </c>
      <c r="F61" s="2" t="str">
        <f t="shared" si="2"/>
        <v/>
      </c>
      <c r="G61" s="2">
        <f>IF(E61=1,SUM(F$3:$F60),"")</f>
        <v>0.55398230954020478</v>
      </c>
    </row>
    <row r="62" spans="1:9" x14ac:dyDescent="0.3">
      <c r="A62">
        <v>61</v>
      </c>
      <c r="B62" t="s">
        <v>89</v>
      </c>
      <c r="C62" t="s">
        <v>6</v>
      </c>
      <c r="D62">
        <v>1427</v>
      </c>
      <c r="E62">
        <f t="shared" si="1"/>
        <v>1</v>
      </c>
      <c r="F62" s="2" t="str">
        <f t="shared" si="2"/>
        <v/>
      </c>
      <c r="G62" s="2">
        <f>IF(E62=1,SUM(F$3:$F61),"")</f>
        <v>0.55398230954020478</v>
      </c>
    </row>
    <row r="63" spans="1:9" x14ac:dyDescent="0.3">
      <c r="A63">
        <v>62</v>
      </c>
      <c r="B63" t="s">
        <v>95</v>
      </c>
      <c r="C63" t="s">
        <v>6</v>
      </c>
      <c r="D63">
        <v>1405</v>
      </c>
      <c r="E63">
        <f t="shared" si="1"/>
        <v>0</v>
      </c>
      <c r="F63" s="2">
        <f t="shared" si="2"/>
        <v>1.6129032258064516E-2</v>
      </c>
      <c r="G63" s="2" t="str">
        <f>IF(E63=1,SUM(F$3:$F62),"")</f>
        <v/>
      </c>
    </row>
    <row r="64" spans="1:9" x14ac:dyDescent="0.3">
      <c r="A64">
        <v>63</v>
      </c>
      <c r="B64" t="s">
        <v>117</v>
      </c>
      <c r="C64" t="s">
        <v>4</v>
      </c>
      <c r="D64">
        <v>1401</v>
      </c>
      <c r="E64">
        <f t="shared" si="1"/>
        <v>0</v>
      </c>
      <c r="F64" s="2">
        <f t="shared" si="2"/>
        <v>1.5873015873015872E-2</v>
      </c>
      <c r="G64" s="2" t="str">
        <f>IF(E64=1,SUM(F$3:$F63),"")</f>
        <v/>
      </c>
    </row>
    <row r="65" spans="1:7" x14ac:dyDescent="0.3">
      <c r="A65">
        <v>64</v>
      </c>
      <c r="B65" t="s">
        <v>55</v>
      </c>
      <c r="C65" t="s">
        <v>7</v>
      </c>
      <c r="D65">
        <v>1380</v>
      </c>
      <c r="E65">
        <f t="shared" si="1"/>
        <v>0</v>
      </c>
      <c r="F65" s="2">
        <f t="shared" si="2"/>
        <v>1.5625E-2</v>
      </c>
      <c r="G65" s="2" t="str">
        <f>IF(E65=1,SUM(F$3:$F64),"")</f>
        <v/>
      </c>
    </row>
    <row r="66" spans="1:7" x14ac:dyDescent="0.3">
      <c r="A66">
        <v>65</v>
      </c>
      <c r="B66" t="s">
        <v>97</v>
      </c>
      <c r="C66" t="s">
        <v>4</v>
      </c>
      <c r="D66">
        <v>1379</v>
      </c>
      <c r="E66">
        <f t="shared" si="1"/>
        <v>0</v>
      </c>
      <c r="F66" s="2">
        <f t="shared" ref="F66:F76" si="3">IF(E66=1,"",1/A66)</f>
        <v>1.5384615384615385E-2</v>
      </c>
      <c r="G66" s="2" t="str">
        <f>IF(E66=1,SUM(F$3:$F65),"")</f>
        <v/>
      </c>
    </row>
    <row r="67" spans="1:7" x14ac:dyDescent="0.3">
      <c r="A67">
        <v>66</v>
      </c>
      <c r="B67" t="s">
        <v>115</v>
      </c>
      <c r="C67" t="s">
        <v>9</v>
      </c>
      <c r="D67">
        <v>1378</v>
      </c>
      <c r="E67">
        <f t="shared" ref="E67:E76" si="4">IF(COUNTIF($I$2:$I$49,B67)&gt;0,1,0)</f>
        <v>1</v>
      </c>
      <c r="F67" s="2" t="str">
        <f t="shared" si="3"/>
        <v/>
      </c>
      <c r="G67" s="2">
        <f>IF(E67=1,SUM(F$3:$F66),"")</f>
        <v>0.61699397305590042</v>
      </c>
    </row>
    <row r="68" spans="1:7" x14ac:dyDescent="0.3">
      <c r="A68">
        <v>67</v>
      </c>
      <c r="B68" t="s">
        <v>82</v>
      </c>
      <c r="C68" t="s">
        <v>9</v>
      </c>
      <c r="D68">
        <v>1370</v>
      </c>
      <c r="E68">
        <f t="shared" si="4"/>
        <v>0</v>
      </c>
      <c r="F68" s="2">
        <f t="shared" si="3"/>
        <v>1.4925373134328358E-2</v>
      </c>
      <c r="G68" s="2" t="str">
        <f>IF(E68=1,SUM(F$3:$F67),"")</f>
        <v/>
      </c>
    </row>
    <row r="69" spans="1:7" x14ac:dyDescent="0.3">
      <c r="A69">
        <v>68</v>
      </c>
      <c r="B69" t="s">
        <v>114</v>
      </c>
      <c r="C69" t="s">
        <v>6</v>
      </c>
      <c r="D69">
        <v>1368</v>
      </c>
      <c r="E69">
        <f t="shared" si="4"/>
        <v>1</v>
      </c>
      <c r="F69" s="2" t="str">
        <f t="shared" si="3"/>
        <v/>
      </c>
      <c r="G69" s="2">
        <f>IF(E69=1,SUM(F$3:$F68),"")</f>
        <v>0.63191934619022883</v>
      </c>
    </row>
    <row r="70" spans="1:7" x14ac:dyDescent="0.3">
      <c r="A70">
        <v>69</v>
      </c>
      <c r="B70" t="s">
        <v>80</v>
      </c>
      <c r="C70" t="s">
        <v>4</v>
      </c>
      <c r="D70">
        <v>1366</v>
      </c>
      <c r="E70">
        <f t="shared" si="4"/>
        <v>0</v>
      </c>
      <c r="F70" s="2">
        <f t="shared" si="3"/>
        <v>1.4492753623188406E-2</v>
      </c>
      <c r="G70" s="2" t="str">
        <f>IF(E70=1,SUM(F$3:$F69),"")</f>
        <v/>
      </c>
    </row>
    <row r="71" spans="1:7" x14ac:dyDescent="0.3">
      <c r="A71">
        <v>70</v>
      </c>
      <c r="B71" t="s">
        <v>73</v>
      </c>
      <c r="C71" t="s">
        <v>7</v>
      </c>
      <c r="D71">
        <v>1362</v>
      </c>
      <c r="E71">
        <f t="shared" si="4"/>
        <v>0</v>
      </c>
      <c r="F71" s="2">
        <f t="shared" si="3"/>
        <v>1.4285714285714285E-2</v>
      </c>
      <c r="G71" s="2" t="str">
        <f>IF(E71=1,SUM(F$3:$F70),"")</f>
        <v/>
      </c>
    </row>
    <row r="72" spans="1:7" x14ac:dyDescent="0.3">
      <c r="A72">
        <v>71</v>
      </c>
      <c r="B72" t="s">
        <v>127</v>
      </c>
      <c r="C72" t="s">
        <v>4</v>
      </c>
      <c r="D72">
        <v>1362</v>
      </c>
      <c r="E72">
        <f t="shared" si="4"/>
        <v>1</v>
      </c>
      <c r="F72" s="2" t="str">
        <f t="shared" si="3"/>
        <v/>
      </c>
      <c r="G72" s="2">
        <f>IF(E72=1,SUM(F$3:$F71),"")</f>
        <v>0.66069781409913142</v>
      </c>
    </row>
    <row r="73" spans="1:7" x14ac:dyDescent="0.3">
      <c r="A73">
        <v>72</v>
      </c>
      <c r="B73" t="s">
        <v>35</v>
      </c>
      <c r="C73" t="s">
        <v>6</v>
      </c>
      <c r="D73">
        <v>1351</v>
      </c>
      <c r="E73">
        <f t="shared" si="4"/>
        <v>1</v>
      </c>
      <c r="F73" s="2" t="str">
        <f t="shared" si="3"/>
        <v/>
      </c>
      <c r="G73" s="2">
        <f>IF(E73=1,SUM(F$3:$F72),"")</f>
        <v>0.66069781409913142</v>
      </c>
    </row>
    <row r="74" spans="1:7" x14ac:dyDescent="0.3">
      <c r="A74">
        <v>73</v>
      </c>
      <c r="B74" t="s">
        <v>92</v>
      </c>
      <c r="C74" t="s">
        <v>4</v>
      </c>
      <c r="D74">
        <v>1348</v>
      </c>
      <c r="E74">
        <f t="shared" si="4"/>
        <v>0</v>
      </c>
      <c r="F74" s="2">
        <f t="shared" si="3"/>
        <v>1.3698630136986301E-2</v>
      </c>
      <c r="G74" s="2" t="str">
        <f>IF(E74=1,SUM(F$3:$F73),"")</f>
        <v/>
      </c>
    </row>
    <row r="75" spans="1:7" x14ac:dyDescent="0.3">
      <c r="A75">
        <v>74</v>
      </c>
      <c r="B75" t="s">
        <v>46</v>
      </c>
      <c r="C75" t="s">
        <v>4</v>
      </c>
      <c r="D75">
        <v>1345</v>
      </c>
      <c r="E75">
        <f t="shared" si="4"/>
        <v>0</v>
      </c>
      <c r="F75" s="2">
        <f t="shared" si="3"/>
        <v>1.3513513513513514E-2</v>
      </c>
      <c r="G75" s="2" t="str">
        <f>IF(E75=1,SUM(F$3:$F74),"")</f>
        <v/>
      </c>
    </row>
    <row r="76" spans="1:7" x14ac:dyDescent="0.3">
      <c r="A76">
        <v>75</v>
      </c>
      <c r="B76" t="s">
        <v>51</v>
      </c>
      <c r="C76" t="s">
        <v>4</v>
      </c>
      <c r="D76">
        <v>1342</v>
      </c>
      <c r="E76">
        <f t="shared" si="4"/>
        <v>0</v>
      </c>
      <c r="F76" s="2">
        <f t="shared" si="3"/>
        <v>1.3333333333333334E-2</v>
      </c>
      <c r="G76" s="2" t="str">
        <f>IF(E76=1,SUM(F$3:$F75),"")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storico</vt:lpstr>
      <vt:lpstr>1994</vt:lpstr>
      <vt:lpstr>1998</vt:lpstr>
      <vt:lpstr>2002</vt:lpstr>
      <vt:lpstr>2006</vt:lpstr>
      <vt:lpstr>2010</vt:lpstr>
      <vt:lpstr>2014</vt:lpstr>
      <vt:lpstr>2018</vt:lpstr>
      <vt:lpstr>2022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Parenti</dc:creator>
  <cp:lastModifiedBy>p.parenti3@campus.unimib.it</cp:lastModifiedBy>
  <dcterms:created xsi:type="dcterms:W3CDTF">2025-11-18T17:13:03Z</dcterms:created>
  <dcterms:modified xsi:type="dcterms:W3CDTF">2026-04-07T13:07:07Z</dcterms:modified>
</cp:coreProperties>
</file>